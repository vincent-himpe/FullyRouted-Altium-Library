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s\FullyRouted-Altium-Library\EXCEL\"/>
    </mc:Choice>
  </mc:AlternateContent>
  <xr:revisionPtr revIDLastSave="0" documentId="13_ncr:1_{DC9FB44D-B899-470E-B326-C5B151A40D1A}" xr6:coauthVersionLast="47" xr6:coauthVersionMax="47" xr10:uidLastSave="{00000000-0000-0000-0000-000000000000}"/>
  <bookViews>
    <workbookView xWindow="-38520" yWindow="-5325" windowWidth="38640" windowHeight="21120" tabRatio="726" activeTab="13" xr2:uid="{88D4FAAA-FA9B-45E5-84C6-BD910F630648}"/>
  </bookViews>
  <sheets>
    <sheet name="AUDIO" sheetId="1" r:id="rId1"/>
    <sheet name="BATTERIES" sheetId="2" r:id="rId2"/>
    <sheet name="CAPACITORS" sheetId="3" r:id="rId3"/>
    <sheet name="CONNECTORS" sheetId="4" r:id="rId4"/>
    <sheet name="CRYSTALS" sheetId="5" r:id="rId5"/>
    <sheet name="DIODES" sheetId="6" r:id="rId6"/>
    <sheet name="DISPLAY" sheetId="7" r:id="rId7"/>
    <sheet name="FERRITEBEAD" sheetId="8" r:id="rId8"/>
    <sheet name="FUSES" sheetId="9" r:id="rId9"/>
    <sheet name="IC" sheetId="10" r:id="rId10"/>
    <sheet name="INDUCTORS" sheetId="11" r:id="rId11"/>
    <sheet name="OPTO" sheetId="12" r:id="rId12"/>
    <sheet name="MECHANICAL" sheetId="13" r:id="rId13"/>
    <sheet name="RELAYS" sheetId="15" r:id="rId14"/>
    <sheet name="RESISTORS" sheetId="16" r:id="rId15"/>
    <sheet name="SWITCH" sheetId="17" r:id="rId16"/>
    <sheet name="THERMAL" sheetId="18" r:id="rId17"/>
    <sheet name="TRANSISTORS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9" l="1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2" i="12"/>
  <c r="B3" i="11"/>
  <c r="B4" i="11"/>
  <c r="B5" i="11"/>
  <c r="B6" i="11"/>
  <c r="B7" i="11"/>
  <c r="B8" i="11"/>
  <c r="B9" i="11"/>
  <c r="B2" i="11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" i="9"/>
  <c r="B3" i="8"/>
  <c r="B4" i="8"/>
  <c r="B5" i="8"/>
  <c r="B6" i="8"/>
  <c r="B7" i="8"/>
  <c r="B2" i="8"/>
  <c r="B2" i="7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2" i="4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5" i="3"/>
  <c r="B6" i="3"/>
  <c r="B3" i="3"/>
  <c r="B4" i="3"/>
  <c r="B2" i="3"/>
  <c r="B3" i="2"/>
  <c r="B2" i="2"/>
  <c r="B3" i="1"/>
  <c r="B4" i="1"/>
  <c r="B2" i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2" i="5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" i="6"/>
  <c r="B2" i="6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" i="19"/>
</calcChain>
</file>

<file path=xl/sharedStrings.xml><?xml version="1.0" encoding="utf-8"?>
<sst xmlns="http://schemas.openxmlformats.org/spreadsheetml/2006/main" count="24385" uniqueCount="5182">
  <si>
    <t>ID</t>
  </si>
  <si>
    <t>Description</t>
  </si>
  <si>
    <t>Library Ref</t>
  </si>
  <si>
    <t>Library Path</t>
  </si>
  <si>
    <t>Footprint Ref</t>
  </si>
  <si>
    <t>Footprint Path</t>
  </si>
  <si>
    <t>Manufacturer</t>
  </si>
  <si>
    <t>Manufacturer PartNo</t>
  </si>
  <si>
    <t>Package</t>
  </si>
  <si>
    <t>AEC-Q</t>
  </si>
  <si>
    <t>Tempco</t>
  </si>
  <si>
    <t>Voltage</t>
  </si>
  <si>
    <t>Supplier</t>
  </si>
  <si>
    <t>Supplier PartNo</t>
  </si>
  <si>
    <t>Location</t>
  </si>
  <si>
    <t/>
  </si>
  <si>
    <t>CUI</t>
  </si>
  <si>
    <t>CEP-2242G</t>
  </si>
  <si>
    <t>A0174</t>
  </si>
  <si>
    <t>SONITROL</t>
  </si>
  <si>
    <t>SMD</t>
  </si>
  <si>
    <t>A0584</t>
  </si>
  <si>
    <t>PANASONIC</t>
  </si>
  <si>
    <t>WM-65A103</t>
  </si>
  <si>
    <t>WIRE</t>
  </si>
  <si>
    <t>A0127</t>
  </si>
  <si>
    <t>AUD-00001</t>
  </si>
  <si>
    <t>AUD-00002</t>
  </si>
  <si>
    <t>AUD-00003</t>
  </si>
  <si>
    <t>Model</t>
  </si>
  <si>
    <t>GenericName</t>
  </si>
  <si>
    <t>Power</t>
  </si>
  <si>
    <t>Capacity</t>
  </si>
  <si>
    <t>Chemistry</t>
  </si>
  <si>
    <t>FDK</t>
  </si>
  <si>
    <t>CR14250SE</t>
  </si>
  <si>
    <t>3V</t>
  </si>
  <si>
    <t>A0856</t>
  </si>
  <si>
    <t>LITHIUM</t>
  </si>
  <si>
    <t>BR-2/3A</t>
  </si>
  <si>
    <t>A0857</t>
  </si>
  <si>
    <t>BAT-00001</t>
  </si>
  <si>
    <t>BAT-00002</t>
  </si>
  <si>
    <t>CAPC0805</t>
  </si>
  <si>
    <t>.\SCHLIB\PASSIVES.SCHLIB</t>
  </si>
  <si>
    <t>KYOCERA</t>
  </si>
  <si>
    <t>0805ZC105KAT4A</t>
  </si>
  <si>
    <t>0805</t>
  </si>
  <si>
    <t>1uF</t>
  </si>
  <si>
    <t>X5R</t>
  </si>
  <si>
    <t>10V</t>
  </si>
  <si>
    <t>CER</t>
  </si>
  <si>
    <t>R9, TO R23</t>
  </si>
  <si>
    <t>CAPF</t>
  </si>
  <si>
    <t>CAPTHBOX508</t>
  </si>
  <si>
    <t>ECQ-V1H393JL3</t>
  </si>
  <si>
    <t>BOX508</t>
  </si>
  <si>
    <t>39nF</t>
  </si>
  <si>
    <t>MP</t>
  </si>
  <si>
    <t>50V</t>
  </si>
  <si>
    <t>FILM</t>
  </si>
  <si>
    <t>JAMECO</t>
  </si>
  <si>
    <t>2313247</t>
  </si>
  <si>
    <t>CAPTA</t>
  </si>
  <si>
    <t>CAPTAA</t>
  </si>
  <si>
    <t>VENKEL</t>
  </si>
  <si>
    <t>TA010TCM335MAR</t>
  </si>
  <si>
    <t>TANT-A</t>
  </si>
  <si>
    <t>3u3</t>
  </si>
  <si>
    <t>TANT</t>
  </si>
  <si>
    <t>R343</t>
  </si>
  <si>
    <t>CAPC0603</t>
  </si>
  <si>
    <t>KEMET</t>
  </si>
  <si>
    <t>C0603C472JSRAC</t>
  </si>
  <si>
    <t>0603</t>
  </si>
  <si>
    <t>4n7</t>
  </si>
  <si>
    <t>X7R</t>
  </si>
  <si>
    <t>JOHANSON</t>
  </si>
  <si>
    <t>250R15Z104MJ4T</t>
  </si>
  <si>
    <t>DEAD</t>
  </si>
  <si>
    <t>100nF</t>
  </si>
  <si>
    <t>25V</t>
  </si>
  <si>
    <t>CALCHIP</t>
  </si>
  <si>
    <t>TCKTA106AT</t>
  </si>
  <si>
    <t>10uF</t>
  </si>
  <si>
    <t>R458, R457</t>
  </si>
  <si>
    <t>CAPTA1206</t>
  </si>
  <si>
    <t>ROHM</t>
  </si>
  <si>
    <t>TCFGA1C475M8R</t>
  </si>
  <si>
    <t>1206</t>
  </si>
  <si>
    <t>4u7</t>
  </si>
  <si>
    <t>16V</t>
  </si>
  <si>
    <t>R467, R468</t>
  </si>
  <si>
    <t>FUJITSU TOWA</t>
  </si>
  <si>
    <t>R471</t>
  </si>
  <si>
    <t>NIC</t>
  </si>
  <si>
    <t>2u2</t>
  </si>
  <si>
    <t>R465</t>
  </si>
  <si>
    <t>MATSUSHITA</t>
  </si>
  <si>
    <t>R463</t>
  </si>
  <si>
    <t>C0805C10K5RAC</t>
  </si>
  <si>
    <t>R466</t>
  </si>
  <si>
    <t>ECJ1VB1H103K</t>
  </si>
  <si>
    <t>10nF</t>
  </si>
  <si>
    <t>R470</t>
  </si>
  <si>
    <t>TCM1D225BT</t>
  </si>
  <si>
    <t>TANT-B</t>
  </si>
  <si>
    <t>R418, R419, R420</t>
  </si>
  <si>
    <t>C0G</t>
  </si>
  <si>
    <t>R399</t>
  </si>
  <si>
    <t>1NF</t>
  </si>
  <si>
    <t>R391</t>
  </si>
  <si>
    <t>R398</t>
  </si>
  <si>
    <t>R396</t>
  </si>
  <si>
    <t>47NF</t>
  </si>
  <si>
    <t>R386</t>
  </si>
  <si>
    <t>10NF</t>
  </si>
  <si>
    <t>R402</t>
  </si>
  <si>
    <t>R401</t>
  </si>
  <si>
    <t>CAPC</t>
  </si>
  <si>
    <t>CAPCTH508</t>
  </si>
  <si>
    <t>EBAY</t>
  </si>
  <si>
    <t>CER508</t>
  </si>
  <si>
    <t>R513</t>
  </si>
  <si>
    <t>R514</t>
  </si>
  <si>
    <t>R515</t>
  </si>
  <si>
    <t>R516</t>
  </si>
  <si>
    <t>R517</t>
  </si>
  <si>
    <t>4N7</t>
  </si>
  <si>
    <t>R518</t>
  </si>
  <si>
    <t>R519</t>
  </si>
  <si>
    <t>R520</t>
  </si>
  <si>
    <t>R521</t>
  </si>
  <si>
    <t>R522</t>
  </si>
  <si>
    <t>R523</t>
  </si>
  <si>
    <t>330NF</t>
  </si>
  <si>
    <t>R524</t>
  </si>
  <si>
    <t>10PF</t>
  </si>
  <si>
    <t>R525</t>
  </si>
  <si>
    <t>680NF</t>
  </si>
  <si>
    <t>R526</t>
  </si>
  <si>
    <t>470NF</t>
  </si>
  <si>
    <t>R527</t>
  </si>
  <si>
    <t>68NF</t>
  </si>
  <si>
    <t>R528</t>
  </si>
  <si>
    <t>R529</t>
  </si>
  <si>
    <t>R530</t>
  </si>
  <si>
    <t>33NF</t>
  </si>
  <si>
    <t>R531</t>
  </si>
  <si>
    <t>R532</t>
  </si>
  <si>
    <t>4U7</t>
  </si>
  <si>
    <t>R533</t>
  </si>
  <si>
    <t>R534</t>
  </si>
  <si>
    <t>R535</t>
  </si>
  <si>
    <t>R536</t>
  </si>
  <si>
    <t>10UF</t>
  </si>
  <si>
    <t>R537</t>
  </si>
  <si>
    <t>R538</t>
  </si>
  <si>
    <t>R539</t>
  </si>
  <si>
    <t>2U2</t>
  </si>
  <si>
    <t>R540</t>
  </si>
  <si>
    <t>R541</t>
  </si>
  <si>
    <t>R542</t>
  </si>
  <si>
    <t>R543</t>
  </si>
  <si>
    <t>330PF</t>
  </si>
  <si>
    <t>R544</t>
  </si>
  <si>
    <t>CAPAE</t>
  </si>
  <si>
    <t>EEU-FC1E222</t>
  </si>
  <si>
    <t>D125 H350 P050</t>
  </si>
  <si>
    <t>2200uF</t>
  </si>
  <si>
    <t>AE</t>
  </si>
  <si>
    <t>P10284-ND</t>
  </si>
  <si>
    <t>A0573</t>
  </si>
  <si>
    <t>ECQ-V1H154JLW</t>
  </si>
  <si>
    <t>150nF</t>
  </si>
  <si>
    <t>A0386</t>
  </si>
  <si>
    <t>VISHAY</t>
  </si>
  <si>
    <t>440LD22-R</t>
  </si>
  <si>
    <t>DISC950</t>
  </si>
  <si>
    <t>2n2</t>
  </si>
  <si>
    <t>Y5U</t>
  </si>
  <si>
    <t>750VAC</t>
  </si>
  <si>
    <t>DISC</t>
  </si>
  <si>
    <t>A0333</t>
  </si>
  <si>
    <t>EPCOS</t>
  </si>
  <si>
    <t>B32672L4474J000</t>
  </si>
  <si>
    <t>BOX L180 H175 P150</t>
  </si>
  <si>
    <t>0u47</t>
  </si>
  <si>
    <t>420V</t>
  </si>
  <si>
    <t>A0327</t>
  </si>
  <si>
    <t>B32529C0105K189</t>
  </si>
  <si>
    <t>63V</t>
  </si>
  <si>
    <t>A0330</t>
  </si>
  <si>
    <t>B32922C3104M189</t>
  </si>
  <si>
    <t>A0384</t>
  </si>
  <si>
    <t>S+M</t>
  </si>
  <si>
    <t>B32529-C1224-K000</t>
  </si>
  <si>
    <t>220nF</t>
  </si>
  <si>
    <t>100V</t>
  </si>
  <si>
    <t>A0268</t>
  </si>
  <si>
    <t>CAPTHAED160H270P075</t>
  </si>
  <si>
    <t>NICHICON</t>
  </si>
  <si>
    <t>UPM2W100MHD</t>
  </si>
  <si>
    <t>D160 H270 P075</t>
  </si>
  <si>
    <t>450V</t>
  </si>
  <si>
    <t>A0130, A0134, A0135</t>
  </si>
  <si>
    <t>CAPPOLY</t>
  </si>
  <si>
    <t>EEH-A2A1V101B</t>
  </si>
  <si>
    <t>D080 H095 P035</t>
  </si>
  <si>
    <t>100uF</t>
  </si>
  <si>
    <t>35V</t>
  </si>
  <si>
    <t>POLY</t>
  </si>
  <si>
    <t>A0129</t>
  </si>
  <si>
    <t>A759EA106MAJAAE060</t>
  </si>
  <si>
    <t>D063 H060 P025</t>
  </si>
  <si>
    <t>A0132</t>
  </si>
  <si>
    <t>A759KS475M2EAAE496</t>
  </si>
  <si>
    <t>D080 H130 P035</t>
  </si>
  <si>
    <t>250V</t>
  </si>
  <si>
    <t>A0275</t>
  </si>
  <si>
    <t>ECQB 47NF 50V</t>
  </si>
  <si>
    <t>47nF</t>
  </si>
  <si>
    <t>A0651</t>
  </si>
  <si>
    <t>CAPTH750</t>
  </si>
  <si>
    <t>ECQV1J184JM</t>
  </si>
  <si>
    <t>BOX750</t>
  </si>
  <si>
    <t>180nF</t>
  </si>
  <si>
    <t>A0650</t>
  </si>
  <si>
    <t>ECQV1J334JM</t>
  </si>
  <si>
    <t>330nF</t>
  </si>
  <si>
    <t>A0652</t>
  </si>
  <si>
    <t>TH508</t>
  </si>
  <si>
    <t>R545, R546</t>
  </si>
  <si>
    <t>R547, R548, R549, R550</t>
  </si>
  <si>
    <t>R551, R552, R553</t>
  </si>
  <si>
    <t>08053C104KAT2A</t>
  </si>
  <si>
    <t>R574</t>
  </si>
  <si>
    <t>BC COMPONENTS BELGIUM</t>
  </si>
  <si>
    <t>MKT370 2222-370-76224</t>
  </si>
  <si>
    <t>A0472, A0490</t>
  </si>
  <si>
    <t>S+M BELGIUM</t>
  </si>
  <si>
    <t>B32529C0474K289</t>
  </si>
  <si>
    <t>470nF</t>
  </si>
  <si>
    <t>A0438, A0462</t>
  </si>
  <si>
    <t>PHILIPS BELGIUM</t>
  </si>
  <si>
    <t>MKT470 2222-470-78474</t>
  </si>
  <si>
    <t>A0414, A0469</t>
  </si>
  <si>
    <t>THOMSON</t>
  </si>
  <si>
    <t>BF024D0224KKR</t>
  </si>
  <si>
    <t>A0481, A0479, A0443</t>
  </si>
  <si>
    <t>BF054E0474K</t>
  </si>
  <si>
    <t>A0430, A0440, A0442</t>
  </si>
  <si>
    <t>TDK</t>
  </si>
  <si>
    <t>B32672P6105K000</t>
  </si>
  <si>
    <t>BOX L180 H185 P150</t>
  </si>
  <si>
    <t>630VDC</t>
  </si>
  <si>
    <t>A0484</t>
  </si>
  <si>
    <t>B32529C0474J289</t>
  </si>
  <si>
    <t>A0500</t>
  </si>
  <si>
    <t>A0499</t>
  </si>
  <si>
    <t>B32529C0474J000</t>
  </si>
  <si>
    <t>A0463</t>
  </si>
  <si>
    <t>NRSA</t>
  </si>
  <si>
    <t>D125 H250 P50</t>
  </si>
  <si>
    <t>1000uF</t>
  </si>
  <si>
    <t>A0509, A0476</t>
  </si>
  <si>
    <t>ELNA</t>
  </si>
  <si>
    <t>DSK-3R3H224U-HL</t>
  </si>
  <si>
    <t>0F22</t>
  </si>
  <si>
    <t>3V3</t>
  </si>
  <si>
    <t>R756</t>
  </si>
  <si>
    <t>EEE-1CA470SP</t>
  </si>
  <si>
    <t>47UF</t>
  </si>
  <si>
    <t>R758</t>
  </si>
  <si>
    <t>WALSIN</t>
  </si>
  <si>
    <t>0805X226M100CT</t>
  </si>
  <si>
    <t>22uF</t>
  </si>
  <si>
    <t>R752</t>
  </si>
  <si>
    <t>GRM188R61A106KE69D</t>
  </si>
  <si>
    <t>R761</t>
  </si>
  <si>
    <t>GCM188R71H104KA57J</t>
  </si>
  <si>
    <t>R777</t>
  </si>
  <si>
    <t>CL10A475KO8NNNC</t>
  </si>
  <si>
    <t>R791</t>
  </si>
  <si>
    <t>GRM188R60J106ME84D</t>
  </si>
  <si>
    <t>6V3</t>
  </si>
  <si>
    <t>R787</t>
  </si>
  <si>
    <t>CL10A225KO8NNNC</t>
  </si>
  <si>
    <t>R779</t>
  </si>
  <si>
    <t>CL10A105KO8NNNC</t>
  </si>
  <si>
    <t>R797</t>
  </si>
  <si>
    <t>GRM033C80J104ME15D</t>
  </si>
  <si>
    <t>R796</t>
  </si>
  <si>
    <t>CL31B226MPHNNNE</t>
  </si>
  <si>
    <t>R793</t>
  </si>
  <si>
    <t>KME</t>
  </si>
  <si>
    <t>220uF</t>
  </si>
  <si>
    <t>A0408</t>
  </si>
  <si>
    <t>ECWU2104V17</t>
  </si>
  <si>
    <t>2420</t>
  </si>
  <si>
    <t>A0715</t>
  </si>
  <si>
    <t>CE SERIES</t>
  </si>
  <si>
    <t>A0720</t>
  </si>
  <si>
    <t>27nF</t>
  </si>
  <si>
    <t>630V</t>
  </si>
  <si>
    <t>A0721</t>
  </si>
  <si>
    <t>ECQ-V1H154JL</t>
  </si>
  <si>
    <t>P4665-ND</t>
  </si>
  <si>
    <t>A0725</t>
  </si>
  <si>
    <t>KME SERIES</t>
  </si>
  <si>
    <t>A0729</t>
  </si>
  <si>
    <t>WIMA</t>
  </si>
  <si>
    <t>FKP0</t>
  </si>
  <si>
    <t>A0789</t>
  </si>
  <si>
    <t>SAMR</t>
  </si>
  <si>
    <t>FILM AXIAL</t>
  </si>
  <si>
    <t>A0802</t>
  </si>
  <si>
    <t>CAP-00001</t>
  </si>
  <si>
    <t>CAP-00002</t>
  </si>
  <si>
    <t>CAP-00003</t>
  </si>
  <si>
    <t>CAP-00004</t>
  </si>
  <si>
    <t>CAP-00005</t>
  </si>
  <si>
    <t>CAP-00006</t>
  </si>
  <si>
    <t>CAP-00007</t>
  </si>
  <si>
    <t>CAP-00008</t>
  </si>
  <si>
    <t>CAP-00009</t>
  </si>
  <si>
    <t>CAP-00010</t>
  </si>
  <si>
    <t>CAP-00011</t>
  </si>
  <si>
    <t>CAP-00012</t>
  </si>
  <si>
    <t>CAP-00013</t>
  </si>
  <si>
    <t>CAP-00014</t>
  </si>
  <si>
    <t>CAP-00015</t>
  </si>
  <si>
    <t>CAP-00016</t>
  </si>
  <si>
    <t>CAP-00017</t>
  </si>
  <si>
    <t>CAP-00018</t>
  </si>
  <si>
    <t>CAP-00019</t>
  </si>
  <si>
    <t>CAP-00020</t>
  </si>
  <si>
    <t>CAP-00021</t>
  </si>
  <si>
    <t>CAP-00022</t>
  </si>
  <si>
    <t>CAP-00023</t>
  </si>
  <si>
    <t>CAP-00024</t>
  </si>
  <si>
    <t>CAP-00025</t>
  </si>
  <si>
    <t>CAP-00026</t>
  </si>
  <si>
    <t>CAP-00027</t>
  </si>
  <si>
    <t>CAP-00028</t>
  </si>
  <si>
    <t>CAP-00029</t>
  </si>
  <si>
    <t>CAP-00030</t>
  </si>
  <si>
    <t>CAP-00031</t>
  </si>
  <si>
    <t>CAP-00032</t>
  </si>
  <si>
    <t>CAP-00033</t>
  </si>
  <si>
    <t>CAP-00034</t>
  </si>
  <si>
    <t>CAP-00035</t>
  </si>
  <si>
    <t>CAP-00036</t>
  </si>
  <si>
    <t>CAP-00037</t>
  </si>
  <si>
    <t>CAP-00038</t>
  </si>
  <si>
    <t>CAP-00039</t>
  </si>
  <si>
    <t>CAP-00040</t>
  </si>
  <si>
    <t>CAP-00041</t>
  </si>
  <si>
    <t>CAP-00042</t>
  </si>
  <si>
    <t>CAP-00043</t>
  </si>
  <si>
    <t>CAP-00044</t>
  </si>
  <si>
    <t>CAP-00045</t>
  </si>
  <si>
    <t>CAP-00046</t>
  </si>
  <si>
    <t>CAP-00047</t>
  </si>
  <si>
    <t>CAP-00048</t>
  </si>
  <si>
    <t>CAP-00049</t>
  </si>
  <si>
    <t>CAP-00050</t>
  </si>
  <si>
    <t>CAP-00051</t>
  </si>
  <si>
    <t>CAP-00052</t>
  </si>
  <si>
    <t>CAP-00053</t>
  </si>
  <si>
    <t>CAP-00054</t>
  </si>
  <si>
    <t>CAP-00055</t>
  </si>
  <si>
    <t>CAP-00056</t>
  </si>
  <si>
    <t>CAP-00057</t>
  </si>
  <si>
    <t>CAP-00058</t>
  </si>
  <si>
    <t>CAP-00059</t>
  </si>
  <si>
    <t>CAP-00060</t>
  </si>
  <si>
    <t>CAP-00061</t>
  </si>
  <si>
    <t>CAP-00062</t>
  </si>
  <si>
    <t>CAP-00063</t>
  </si>
  <si>
    <t>CAP-00064</t>
  </si>
  <si>
    <t>CAP-00065</t>
  </si>
  <si>
    <t>CAP-00066</t>
  </si>
  <si>
    <t>CAP-00067</t>
  </si>
  <si>
    <t>CAP-00068</t>
  </si>
  <si>
    <t>CAP-00069</t>
  </si>
  <si>
    <t>CAP-00070</t>
  </si>
  <si>
    <t>CAP-00071</t>
  </si>
  <si>
    <t>CAP-00072</t>
  </si>
  <si>
    <t>CAP-00073</t>
  </si>
  <si>
    <t>CAP-00074</t>
  </si>
  <si>
    <t>CAP-00075</t>
  </si>
  <si>
    <t>CAP-00076</t>
  </si>
  <si>
    <t>CAP-00077</t>
  </si>
  <si>
    <t>CAP-00078</t>
  </si>
  <si>
    <t>CAP-00079</t>
  </si>
  <si>
    <t>CAP-00080</t>
  </si>
  <si>
    <t>CAP-00081</t>
  </si>
  <si>
    <t>CAP-00082</t>
  </si>
  <si>
    <t>CAP-00083</t>
  </si>
  <si>
    <t>CAP-00084</t>
  </si>
  <si>
    <t>CAP-00085</t>
  </si>
  <si>
    <t>CAP-00086</t>
  </si>
  <si>
    <t>CAP-00087</t>
  </si>
  <si>
    <t>CAP-00088</t>
  </si>
  <si>
    <t>CAP-00089</t>
  </si>
  <si>
    <t>CAP-00090</t>
  </si>
  <si>
    <t>CAP-00091</t>
  </si>
  <si>
    <t>CAP-00092</t>
  </si>
  <si>
    <t>CAP-00093</t>
  </si>
  <si>
    <t>CAP-00094</t>
  </si>
  <si>
    <t>CAP-00095</t>
  </si>
  <si>
    <t>CAP-00096</t>
  </si>
  <si>
    <t>CAP-00097</t>
  </si>
  <si>
    <t>CAP-00098</t>
  </si>
  <si>
    <t>CAP-00099</t>
  </si>
  <si>
    <t>Mounting</t>
  </si>
  <si>
    <t>CONtype</t>
  </si>
  <si>
    <t>PinOut</t>
  </si>
  <si>
    <t>CONN-ICSOCKET</t>
  </si>
  <si>
    <t>.\SCHLIB\CONNECTORS-GENERIC.SCHLIB</t>
  </si>
  <si>
    <t>ADAM TECH</t>
  </si>
  <si>
    <t>ICS-308-T</t>
  </si>
  <si>
    <t>DIP8</t>
  </si>
  <si>
    <t>TH</t>
  </si>
  <si>
    <t>8P</t>
  </si>
  <si>
    <t>MARS36</t>
  </si>
  <si>
    <t>ICS-314-T</t>
  </si>
  <si>
    <t>DIP14</t>
  </si>
  <si>
    <t>14P</t>
  </si>
  <si>
    <t>MARS37</t>
  </si>
  <si>
    <t>ICS-316-T</t>
  </si>
  <si>
    <t>DIP16</t>
  </si>
  <si>
    <t>16P</t>
  </si>
  <si>
    <t>MARS38</t>
  </si>
  <si>
    <t>ICS-318-T</t>
  </si>
  <si>
    <t>DIP18</t>
  </si>
  <si>
    <t>18P</t>
  </si>
  <si>
    <t>MARS39</t>
  </si>
  <si>
    <t>ICS-320-T</t>
  </si>
  <si>
    <t>DIP20</t>
  </si>
  <si>
    <t>20P</t>
  </si>
  <si>
    <t>MARS40</t>
  </si>
  <si>
    <t>ICS-324-T</t>
  </si>
  <si>
    <t>DIP24-150</t>
  </si>
  <si>
    <t>24PS</t>
  </si>
  <si>
    <t>MARS441</t>
  </si>
  <si>
    <t>ICS-624-T</t>
  </si>
  <si>
    <t>DIP24-600</t>
  </si>
  <si>
    <t>24PW</t>
  </si>
  <si>
    <t>MARS42</t>
  </si>
  <si>
    <t>ICS-628-T</t>
  </si>
  <si>
    <t>DIP28-600</t>
  </si>
  <si>
    <t>28PW</t>
  </si>
  <si>
    <t>MARS43</t>
  </si>
  <si>
    <t>ICS-640-T</t>
  </si>
  <si>
    <t>DIP40-600</t>
  </si>
  <si>
    <t>40PW</t>
  </si>
  <si>
    <t>MARS44</t>
  </si>
  <si>
    <t>MOLEX</t>
  </si>
  <si>
    <t>0513870578</t>
  </si>
  <si>
    <t>WM5462CT-ND</t>
  </si>
  <si>
    <t>A0591</t>
  </si>
  <si>
    <t>0548190572</t>
  </si>
  <si>
    <t>WM17116CT-ND</t>
  </si>
  <si>
    <t>A0604</t>
  </si>
  <si>
    <t>MISC</t>
  </si>
  <si>
    <t>6PIN-GREEN</t>
  </si>
  <si>
    <t>A0643</t>
  </si>
  <si>
    <t>6PIN-RED</t>
  </si>
  <si>
    <t>A0635</t>
  </si>
  <si>
    <t>6PIN-BLUE</t>
  </si>
  <si>
    <t>A0638</t>
  </si>
  <si>
    <t>6PIN-YELLOW</t>
  </si>
  <si>
    <t>A0656</t>
  </si>
  <si>
    <t>USB MINI SMD</t>
  </si>
  <si>
    <t>A0646</t>
  </si>
  <si>
    <t>A0658</t>
  </si>
  <si>
    <t>A0659</t>
  </si>
  <si>
    <t>USB3 RA</t>
  </si>
  <si>
    <t>A0681</t>
  </si>
  <si>
    <t>CALTEST</t>
  </si>
  <si>
    <t>CT2904-0</t>
  </si>
  <si>
    <t>A0487</t>
  </si>
  <si>
    <t>CT2904-2</t>
  </si>
  <si>
    <t>A0488</t>
  </si>
  <si>
    <t>CT2904-4</t>
  </si>
  <si>
    <t>A0485</t>
  </si>
  <si>
    <t>CT2904-1</t>
  </si>
  <si>
    <t>-</t>
  </si>
  <si>
    <t>CT2904-7</t>
  </si>
  <si>
    <t>CT2904-5</t>
  </si>
  <si>
    <t>CT2904-6</t>
  </si>
  <si>
    <t>CT2904-9</t>
  </si>
  <si>
    <t>PLCC28, SMD, SOCKET</t>
  </si>
  <si>
    <t>A0506, A0507</t>
  </si>
  <si>
    <t>SJ1-2503A</t>
  </si>
  <si>
    <t>A0429</t>
  </si>
  <si>
    <t>SOCKET BATT, 2032, SMD</t>
  </si>
  <si>
    <t>A0431</t>
  </si>
  <si>
    <t>SMA-MCX WIFI ANTENNA</t>
  </si>
  <si>
    <t>A0449</t>
  </si>
  <si>
    <t>1-284392-0</t>
  </si>
  <si>
    <t>A0508</t>
  </si>
  <si>
    <t>87606-305LF</t>
  </si>
  <si>
    <t>A0497</t>
  </si>
  <si>
    <t>3220-10-0300-00</t>
  </si>
  <si>
    <t>2X5 IDC MINI</t>
  </si>
  <si>
    <t>R764</t>
  </si>
  <si>
    <t>56579-0576</t>
  </si>
  <si>
    <t>R778</t>
  </si>
  <si>
    <t>HP</t>
  </si>
  <si>
    <t>N-TO-SMA</t>
  </si>
  <si>
    <t>A0328</t>
  </si>
  <si>
    <t>USB VERTICAL RA</t>
  </si>
  <si>
    <t>A0520</t>
  </si>
  <si>
    <t>B3B-PH-K-S(LF)(SN)</t>
  </si>
  <si>
    <t>455-1705-ND</t>
  </si>
  <si>
    <t>A0521</t>
  </si>
  <si>
    <t>CKMTW</t>
  </si>
  <si>
    <t>B-2202N20P-B121</t>
  </si>
  <si>
    <t>LCSC</t>
  </si>
  <si>
    <t>C135211</t>
  </si>
  <si>
    <t>A0427</t>
  </si>
  <si>
    <t>JUMPER-YELLOW</t>
  </si>
  <si>
    <t>A0397</t>
  </si>
  <si>
    <t>JUMPER-BLACK</t>
  </si>
  <si>
    <t>A0395</t>
  </si>
  <si>
    <t>JUMPER-GREEN</t>
  </si>
  <si>
    <t>A0396</t>
  </si>
  <si>
    <t>JUMPER-RED</t>
  </si>
  <si>
    <t>A0404</t>
  </si>
  <si>
    <t>JUMPER-BLUE</t>
  </si>
  <si>
    <t>A0400</t>
  </si>
  <si>
    <t>FAKE</t>
  </si>
  <si>
    <t>ZIF20S</t>
  </si>
  <si>
    <t>A0696</t>
  </si>
  <si>
    <t>ZIF28W</t>
  </si>
  <si>
    <t>A0698</t>
  </si>
  <si>
    <t>B2PS-VH(LF)</t>
  </si>
  <si>
    <t>A0699</t>
  </si>
  <si>
    <t>0705530002</t>
  </si>
  <si>
    <t>A0702</t>
  </si>
  <si>
    <t>AMPHENOL</t>
  </si>
  <si>
    <t>54102-T08-08</t>
  </si>
  <si>
    <t>A0703, A0704, A0706, A0707</t>
  </si>
  <si>
    <t>VHR-2N</t>
  </si>
  <si>
    <t>A0705</t>
  </si>
  <si>
    <t>PLCC28SMD</t>
  </si>
  <si>
    <t>A0710, A0829</t>
  </si>
  <si>
    <t>POMONOA</t>
  </si>
  <si>
    <t>DOUBLE BANANA RED</t>
  </si>
  <si>
    <t>A0719</t>
  </si>
  <si>
    <t>BOXHEADER14</t>
  </si>
  <si>
    <t>A0722</t>
  </si>
  <si>
    <t>PHOENIX</t>
  </si>
  <si>
    <t>1754449</t>
  </si>
  <si>
    <t>A0747</t>
  </si>
  <si>
    <t>1754465</t>
  </si>
  <si>
    <t>A0748</t>
  </si>
  <si>
    <t>1754588</t>
  </si>
  <si>
    <t>A0749, A0750</t>
  </si>
  <si>
    <t>BANANA SAFETY SHROUD BLUE</t>
  </si>
  <si>
    <t>ANCHOR</t>
  </si>
  <si>
    <t>A0761</t>
  </si>
  <si>
    <t>BANANA SAFETY SHROUD YELLOW</t>
  </si>
  <si>
    <t>A0762</t>
  </si>
  <si>
    <t>BANANA SAFETY SHROUD RED</t>
  </si>
  <si>
    <t>A0763</t>
  </si>
  <si>
    <t>BANANA SAFETY SHROUD BLACK</t>
  </si>
  <si>
    <t>A0764</t>
  </si>
  <si>
    <t>JUMPER 100MIL YELLOW</t>
  </si>
  <si>
    <t>A0765, A0766</t>
  </si>
  <si>
    <t>JUMPER 100MIL RED</t>
  </si>
  <si>
    <t>A0767, A0768</t>
  </si>
  <si>
    <t>JUMPER 100 MIL BLUE</t>
  </si>
  <si>
    <t>A0769, A0770</t>
  </si>
  <si>
    <t>JUMPER 100MIL GREEN</t>
  </si>
  <si>
    <t>A0771, A0772</t>
  </si>
  <si>
    <t>JUMPER 100MIL WHITE</t>
  </si>
  <si>
    <t>A0773, A0774</t>
  </si>
  <si>
    <t>JUMPER 100MIL BLACK</t>
  </si>
  <si>
    <t>A0786</t>
  </si>
  <si>
    <t>ASSMAN</t>
  </si>
  <si>
    <t>A0816</t>
  </si>
  <si>
    <t>STEWART</t>
  </si>
  <si>
    <t>SS-6488-NF</t>
  </si>
  <si>
    <t>A0815</t>
  </si>
  <si>
    <t>PHOENIX COPY</t>
  </si>
  <si>
    <t>MSTB 2,5/ 2-ST-5,08</t>
  </si>
  <si>
    <t>A0822</t>
  </si>
  <si>
    <t>MSTB 2,5/ 3-ST-5,08</t>
  </si>
  <si>
    <t>A0823, A0824</t>
  </si>
  <si>
    <t>MSTBW 2,5/ 2-G-5,08</t>
  </si>
  <si>
    <t>A0817</t>
  </si>
  <si>
    <t>MSTBW 2,5/ 3-G-5,08</t>
  </si>
  <si>
    <t>A0818</t>
  </si>
  <si>
    <t>MSTBW 2,5/ 5-G-5,08</t>
  </si>
  <si>
    <t>A0819</t>
  </si>
  <si>
    <t>MSTBW 2,5/ 9-G-5,08</t>
  </si>
  <si>
    <t>A0820, A0821</t>
  </si>
  <si>
    <t>MSTB 2,5/ 5-ST-5,08</t>
  </si>
  <si>
    <t>A0825</t>
  </si>
  <si>
    <t>PINHEADER 2.54 1X72 BLACK</t>
  </si>
  <si>
    <t>A0831, A0832</t>
  </si>
  <si>
    <t>PINHEADER 2.54 1X72 RED</t>
  </si>
  <si>
    <t>A0833, A0834</t>
  </si>
  <si>
    <t>PINHEADER 2.54 1X72 YELLOW</t>
  </si>
  <si>
    <t>A0835, A0836</t>
  </si>
  <si>
    <t>PINHEADER 2.54 1X72 WHITE</t>
  </si>
  <si>
    <t>A0837, A0838</t>
  </si>
  <si>
    <t>PINHEADER 2.54 1X72 GREY</t>
  </si>
  <si>
    <t>A0839, A0840</t>
  </si>
  <si>
    <t>SAMTEC</t>
  </si>
  <si>
    <t>FEMALE PINHEADER 2.54 2X72 BLACK</t>
  </si>
  <si>
    <t>A0841, A0842, A0843</t>
  </si>
  <si>
    <t>PINHEADER 2.54 1X72 BLUE</t>
  </si>
  <si>
    <t>A0844</t>
  </si>
  <si>
    <t>YAMAICHI</t>
  </si>
  <si>
    <t>IC51-2084-1052</t>
  </si>
  <si>
    <t>A0851</t>
  </si>
  <si>
    <t>CON-00001</t>
  </si>
  <si>
    <t>Frequency</t>
  </si>
  <si>
    <t>CTS</t>
  </si>
  <si>
    <t>ATS250BSM-1</t>
  </si>
  <si>
    <t>HC49/US</t>
  </si>
  <si>
    <t>25MHz</t>
  </si>
  <si>
    <t>R95</t>
  </si>
  <si>
    <t>SEIKO</t>
  </si>
  <si>
    <t>VT200F-6PF20PPM</t>
  </si>
  <si>
    <t>CAN-TH</t>
  </si>
  <si>
    <t>32.768KHZ</t>
  </si>
  <si>
    <t>R96</t>
  </si>
  <si>
    <t>EPSON</t>
  </si>
  <si>
    <t>TSX-3225-16.0000MF09Z-AC0</t>
  </si>
  <si>
    <t>3225</t>
  </si>
  <si>
    <t>16MHZ</t>
  </si>
  <si>
    <t>R129</t>
  </si>
  <si>
    <t>FS22.11</t>
  </si>
  <si>
    <t>22.11</t>
  </si>
  <si>
    <t>R373</t>
  </si>
  <si>
    <t>XOSM573BE-25</t>
  </si>
  <si>
    <t>7050</t>
  </si>
  <si>
    <t>25MHZ</t>
  </si>
  <si>
    <t>R374</t>
  </si>
  <si>
    <t>A160E07</t>
  </si>
  <si>
    <t>R512</t>
  </si>
  <si>
    <t>FOX</t>
  </si>
  <si>
    <t>FOX115</t>
  </si>
  <si>
    <t>HC49TH</t>
  </si>
  <si>
    <t>110.592MHZ</t>
  </si>
  <si>
    <t>A0025</t>
  </si>
  <si>
    <t>4MHZ</t>
  </si>
  <si>
    <t>A0582</t>
  </si>
  <si>
    <t>ABRACON</t>
  </si>
  <si>
    <t>ABLS-8.000MHZ-B4-T</t>
  </si>
  <si>
    <t>8MHZ</t>
  </si>
  <si>
    <t>535-10212-1-ND</t>
  </si>
  <si>
    <t>R639</t>
  </si>
  <si>
    <t>ABS07AIG-32.768KHZ-7-T</t>
  </si>
  <si>
    <t>3215</t>
  </si>
  <si>
    <t>SX32Y016000B91T</t>
  </si>
  <si>
    <t>R753</t>
  </si>
  <si>
    <t>FC-135R 32.7680KA-A3</t>
  </si>
  <si>
    <t>32.768K</t>
  </si>
  <si>
    <t>R757</t>
  </si>
  <si>
    <t>FS6.000</t>
  </si>
  <si>
    <t>6.0MHz</t>
  </si>
  <si>
    <t>A0369</t>
  </si>
  <si>
    <t>FS0496-2</t>
  </si>
  <si>
    <t>4.096MHz</t>
  </si>
  <si>
    <t>A0712, A0723</t>
  </si>
  <si>
    <t>FS6.176</t>
  </si>
  <si>
    <t>6.176MHz</t>
  </si>
  <si>
    <t>A0724</t>
  </si>
  <si>
    <t>SG615G-20</t>
  </si>
  <si>
    <t>20MHz</t>
  </si>
  <si>
    <t>A0780, A0827, A0828, A0848, A0849, A0850</t>
  </si>
  <si>
    <t>ILSI-12.0-113</t>
  </si>
  <si>
    <t>12MHz</t>
  </si>
  <si>
    <t>A0797</t>
  </si>
  <si>
    <t>If</t>
  </si>
  <si>
    <t>Vr</t>
  </si>
  <si>
    <t>DIODE-BRIDGE-P-N-AC-AC</t>
  </si>
  <si>
    <t>.\SCHLIB\DIODES.SCHLIB</t>
  </si>
  <si>
    <t>ONSEMI</t>
  </si>
  <si>
    <t>MB10S</t>
  </si>
  <si>
    <t>SO4</t>
  </si>
  <si>
    <t>R41</t>
  </si>
  <si>
    <t>0.5A</t>
  </si>
  <si>
    <t>1000V</t>
  </si>
  <si>
    <t>BRIDGE</t>
  </si>
  <si>
    <t>DIODE-SILICON-A-N-K</t>
  </si>
  <si>
    <t>SOT23</t>
  </si>
  <si>
    <t>MMBD4148-7</t>
  </si>
  <si>
    <t>R113, R117, R118, R119</t>
  </si>
  <si>
    <t>0.3A</t>
  </si>
  <si>
    <t>75V</t>
  </si>
  <si>
    <t>SWITCHING</t>
  </si>
  <si>
    <t>NXP</t>
  </si>
  <si>
    <t>BAW56</t>
  </si>
  <si>
    <t>R121, R127</t>
  </si>
  <si>
    <t>0.21A</t>
  </si>
  <si>
    <t>85V</t>
  </si>
  <si>
    <t>DIODE-ZENER-ANK</t>
  </si>
  <si>
    <t>MMBZ5226BLT1</t>
  </si>
  <si>
    <t>R125, R126</t>
  </si>
  <si>
    <t>0.225W</t>
  </si>
  <si>
    <t>ZENER</t>
  </si>
  <si>
    <t>225mW</t>
  </si>
  <si>
    <t>DIODE-ARRAY-SCHOTTKY-AKS</t>
  </si>
  <si>
    <t>BAT54C</t>
  </si>
  <si>
    <t>R141</t>
  </si>
  <si>
    <t>0.2A</t>
  </si>
  <si>
    <t>30V</t>
  </si>
  <si>
    <t>SCHOTTKY ARRAY CC</t>
  </si>
  <si>
    <t>DIODE-SCHOTTKY-KA</t>
  </si>
  <si>
    <t>SMA</t>
  </si>
  <si>
    <t>10MQ04</t>
  </si>
  <si>
    <t>R170 TO R177</t>
  </si>
  <si>
    <t>2.1A</t>
  </si>
  <si>
    <t>40V</t>
  </si>
  <si>
    <t>SCHOTTKY</t>
  </si>
  <si>
    <t>DIODE-SCHOTTKY-A-N-K</t>
  </si>
  <si>
    <t>DIODES INC</t>
  </si>
  <si>
    <t>ZHCS500</t>
  </si>
  <si>
    <t>R179</t>
  </si>
  <si>
    <t>DIODE-ARRAY-SILICON-AKS</t>
  </si>
  <si>
    <t>BAV99</t>
  </si>
  <si>
    <t>R178, R454, R452</t>
  </si>
  <si>
    <t>0.15A</t>
  </si>
  <si>
    <t>ARRAY SERIES</t>
  </si>
  <si>
    <t>DIODE-SILICON-KA</t>
  </si>
  <si>
    <t>SMC</t>
  </si>
  <si>
    <t>MBRS340</t>
  </si>
  <si>
    <t>R161 TO R169</t>
  </si>
  <si>
    <t>4A</t>
  </si>
  <si>
    <t>1N4148</t>
  </si>
  <si>
    <t>R301</t>
  </si>
  <si>
    <t>GENERAL PURPOSE</t>
  </si>
  <si>
    <t>BAT46</t>
  </si>
  <si>
    <t>R302</t>
  </si>
  <si>
    <t>ZHCS750</t>
  </si>
  <si>
    <t>R303</t>
  </si>
  <si>
    <t>0.75A</t>
  </si>
  <si>
    <t>HD01</t>
  </si>
  <si>
    <t>R306, R319</t>
  </si>
  <si>
    <t>0.8A</t>
  </si>
  <si>
    <t>BAS70</t>
  </si>
  <si>
    <t>R307</t>
  </si>
  <si>
    <t>0.07A</t>
  </si>
  <si>
    <t>70V</t>
  </si>
  <si>
    <t>BAT54</t>
  </si>
  <si>
    <t>R308</t>
  </si>
  <si>
    <t>SMB</t>
  </si>
  <si>
    <t>MURS140</t>
  </si>
  <si>
    <t>R318</t>
  </si>
  <si>
    <t>1A</t>
  </si>
  <si>
    <t>400V</t>
  </si>
  <si>
    <t>ULTRA FAST</t>
  </si>
  <si>
    <t>DL4002</t>
  </si>
  <si>
    <t>MELF</t>
  </si>
  <si>
    <t>R320</t>
  </si>
  <si>
    <t>DO35</t>
  </si>
  <si>
    <t>FAIRCHILD</t>
  </si>
  <si>
    <t>1N914ATRA</t>
  </si>
  <si>
    <t>655269</t>
  </si>
  <si>
    <t>1N914TR</t>
  </si>
  <si>
    <t>0.075A</t>
  </si>
  <si>
    <t>36311</t>
  </si>
  <si>
    <t>1N914A</t>
  </si>
  <si>
    <t>2344935</t>
  </si>
  <si>
    <t>DO15</t>
  </si>
  <si>
    <t>GI816</t>
  </si>
  <si>
    <t>600V</t>
  </si>
  <si>
    <t>RECTIFIER</t>
  </si>
  <si>
    <t>2284967</t>
  </si>
  <si>
    <t>TO220V</t>
  </si>
  <si>
    <t>UNITRODE</t>
  </si>
  <si>
    <t>UES1401</t>
  </si>
  <si>
    <t>TO220</t>
  </si>
  <si>
    <t>8A</t>
  </si>
  <si>
    <t>FAST</t>
  </si>
  <si>
    <t>2303559</t>
  </si>
  <si>
    <t>DIODE-BRIDGE-P-AC-AC-N</t>
  </si>
  <si>
    <t>GBU8</t>
  </si>
  <si>
    <t>SIP4</t>
  </si>
  <si>
    <t>2338199</t>
  </si>
  <si>
    <t>KEC</t>
  </si>
  <si>
    <t>KDS226</t>
  </si>
  <si>
    <t>R322, R323, R429</t>
  </si>
  <si>
    <t>80V</t>
  </si>
  <si>
    <t>MMBD1403</t>
  </si>
  <si>
    <t>R333, R337</t>
  </si>
  <si>
    <t>200V</t>
  </si>
  <si>
    <t>MELF6508</t>
  </si>
  <si>
    <t>TZMC8V2</t>
  </si>
  <si>
    <t>6508 MELF</t>
  </si>
  <si>
    <t>R339, R340</t>
  </si>
  <si>
    <t>0.5W</t>
  </si>
  <si>
    <t>8V2</t>
  </si>
  <si>
    <t>SOD123</t>
  </si>
  <si>
    <t>MMSZ3V6T1</t>
  </si>
  <si>
    <t>R451, R450, R453, R455, R449</t>
  </si>
  <si>
    <t>3V6</t>
  </si>
  <si>
    <t>SS14</t>
  </si>
  <si>
    <t>R416, R415</t>
  </si>
  <si>
    <t>ST</t>
  </si>
  <si>
    <t>STTH1L06A</t>
  </si>
  <si>
    <t>R493</t>
  </si>
  <si>
    <t>BZX55C5V1</t>
  </si>
  <si>
    <t>A0096</t>
  </si>
  <si>
    <t>5V1</t>
  </si>
  <si>
    <t>1N4734</t>
  </si>
  <si>
    <t>DO41</t>
  </si>
  <si>
    <t>A0097</t>
  </si>
  <si>
    <t>1W</t>
  </si>
  <si>
    <t>5V6</t>
  </si>
  <si>
    <t>1N4735</t>
  </si>
  <si>
    <t>A0069</t>
  </si>
  <si>
    <t>6V2</t>
  </si>
  <si>
    <t>R6</t>
  </si>
  <si>
    <t>MICRO COMMERCIAL</t>
  </si>
  <si>
    <t>6A10</t>
  </si>
  <si>
    <t>R-6</t>
  </si>
  <si>
    <t>6A</t>
  </si>
  <si>
    <t>MURS120T3</t>
  </si>
  <si>
    <t>A0067</t>
  </si>
  <si>
    <t>MURS160</t>
  </si>
  <si>
    <t>A0094</t>
  </si>
  <si>
    <t>60V</t>
  </si>
  <si>
    <t>ESDA5V35SC</t>
  </si>
  <si>
    <t>A0203</t>
  </si>
  <si>
    <t>22A</t>
  </si>
  <si>
    <t>5V3</t>
  </si>
  <si>
    <t>TVS</t>
  </si>
  <si>
    <t>DIOTEC</t>
  </si>
  <si>
    <t>SD103AW</t>
  </si>
  <si>
    <t>A0144</t>
  </si>
  <si>
    <t>0.35A</t>
  </si>
  <si>
    <t>COMCHIP</t>
  </si>
  <si>
    <t>SS34</t>
  </si>
  <si>
    <t>A0145</t>
  </si>
  <si>
    <t>3A</t>
  </si>
  <si>
    <t>MMBD914</t>
  </si>
  <si>
    <t>A0159</t>
  </si>
  <si>
    <t>SS24</t>
  </si>
  <si>
    <t>A0177</t>
  </si>
  <si>
    <t>2A</t>
  </si>
  <si>
    <t>BAV21</t>
  </si>
  <si>
    <t>A0209</t>
  </si>
  <si>
    <t>0.25A</t>
  </si>
  <si>
    <t>1N914-CDI</t>
  </si>
  <si>
    <t>A0183</t>
  </si>
  <si>
    <t>A0163</t>
  </si>
  <si>
    <t>MMBZ5231</t>
  </si>
  <si>
    <t>0.2W</t>
  </si>
  <si>
    <t>4U3UID</t>
  </si>
  <si>
    <t>A0167</t>
  </si>
  <si>
    <t>1N4739</t>
  </si>
  <si>
    <t>A0626</t>
  </si>
  <si>
    <t>1.W</t>
  </si>
  <si>
    <t>9V1</t>
  </si>
  <si>
    <t>RECTRON</t>
  </si>
  <si>
    <t>HER305</t>
  </si>
  <si>
    <t>DO201</t>
  </si>
  <si>
    <t>A0612</t>
  </si>
  <si>
    <t>MDD</t>
  </si>
  <si>
    <t>GBU08</t>
  </si>
  <si>
    <t>A0614</t>
  </si>
  <si>
    <t>800V</t>
  </si>
  <si>
    <t>KBL04</t>
  </si>
  <si>
    <t>A0575</t>
  </si>
  <si>
    <t>KBP01</t>
  </si>
  <si>
    <t>A0625</t>
  </si>
  <si>
    <t>DB104</t>
  </si>
  <si>
    <t>DB04</t>
  </si>
  <si>
    <t>A0585</t>
  </si>
  <si>
    <t>KBP04</t>
  </si>
  <si>
    <t>A0630</t>
  </si>
  <si>
    <t>1.5A</t>
  </si>
  <si>
    <t>1N4934</t>
  </si>
  <si>
    <t>A0627, A0624</t>
  </si>
  <si>
    <t>1N4733</t>
  </si>
  <si>
    <t>A0629</t>
  </si>
  <si>
    <t>1.3W</t>
  </si>
  <si>
    <t>SF163</t>
  </si>
  <si>
    <t>A0631</t>
  </si>
  <si>
    <t>16A</t>
  </si>
  <si>
    <t>150V</t>
  </si>
  <si>
    <t>MUR460</t>
  </si>
  <si>
    <t>A0611</t>
  </si>
  <si>
    <t>MBR340</t>
  </si>
  <si>
    <t>A0620</t>
  </si>
  <si>
    <t>MICROSEMI</t>
  </si>
  <si>
    <t>VHE1404</t>
  </si>
  <si>
    <t>TO220-2</t>
  </si>
  <si>
    <t>A0623</t>
  </si>
  <si>
    <t>ULTRAFAST RECTIFIER</t>
  </si>
  <si>
    <t>1N4004</t>
  </si>
  <si>
    <t>A0594</t>
  </si>
  <si>
    <t>FCI</t>
  </si>
  <si>
    <t>FBR2045</t>
  </si>
  <si>
    <t>A0581</t>
  </si>
  <si>
    <t>20A</t>
  </si>
  <si>
    <t>45A</t>
  </si>
  <si>
    <t>ARRAY CC</t>
  </si>
  <si>
    <t>HER302</t>
  </si>
  <si>
    <t>A0588</t>
  </si>
  <si>
    <t>MUR1615</t>
  </si>
  <si>
    <t>A0590</t>
  </si>
  <si>
    <t>GENERAL PURPOSE, DUAL CC</t>
  </si>
  <si>
    <t>1N5819</t>
  </si>
  <si>
    <t>A0607</t>
  </si>
  <si>
    <t>STPS15</t>
  </si>
  <si>
    <t>A0381</t>
  </si>
  <si>
    <t>7.5A</t>
  </si>
  <si>
    <t>STTH1L06</t>
  </si>
  <si>
    <t>A0383</t>
  </si>
  <si>
    <t>P6KE250ARL</t>
  </si>
  <si>
    <t>A0380</t>
  </si>
  <si>
    <t>213V</t>
  </si>
  <si>
    <t>2W10</t>
  </si>
  <si>
    <t>WOB</t>
  </si>
  <si>
    <t>A0387</t>
  </si>
  <si>
    <t>STPS2H100</t>
  </si>
  <si>
    <t>A0385</t>
  </si>
  <si>
    <t>IR</t>
  </si>
  <si>
    <t>6GBU06</t>
  </si>
  <si>
    <t>GBU6</t>
  </si>
  <si>
    <t>A0224</t>
  </si>
  <si>
    <t>MBRD660CTT</t>
  </si>
  <si>
    <t>DPAK</t>
  </si>
  <si>
    <t>A0274</t>
  </si>
  <si>
    <t>TAIWAN SEMI</t>
  </si>
  <si>
    <t>SFF1006</t>
  </si>
  <si>
    <t>A0294</t>
  </si>
  <si>
    <t>10A</t>
  </si>
  <si>
    <t>SUPER FAST, DUAL CC</t>
  </si>
  <si>
    <t>MICROCHIP</t>
  </si>
  <si>
    <t>APT15DQ60KG</t>
  </si>
  <si>
    <t>A0290</t>
  </si>
  <si>
    <t>15A</t>
  </si>
  <si>
    <t>SFF1005GA</t>
  </si>
  <si>
    <t>A0297</t>
  </si>
  <si>
    <t>300V</t>
  </si>
  <si>
    <t>SUPER FAST, DUAL CA</t>
  </si>
  <si>
    <t>LITTELFUSE</t>
  </si>
  <si>
    <t>MBR130P</t>
  </si>
  <si>
    <t>A0663, A0665</t>
  </si>
  <si>
    <t>5A</t>
  </si>
  <si>
    <t>A0671, A0687</t>
  </si>
  <si>
    <t>1N5400</t>
  </si>
  <si>
    <t>A0680, A0666</t>
  </si>
  <si>
    <t>BZX84C5V1LT1</t>
  </si>
  <si>
    <t>R689</t>
  </si>
  <si>
    <t>5V11</t>
  </si>
  <si>
    <t>1N5821</t>
  </si>
  <si>
    <t>A0644</t>
  </si>
  <si>
    <t>1N4736</t>
  </si>
  <si>
    <t>A0657</t>
  </si>
  <si>
    <t>6V8</t>
  </si>
  <si>
    <t>MMSZ5226BT1G</t>
  </si>
  <si>
    <t>R614</t>
  </si>
  <si>
    <t>BZT52C3V9S-7</t>
  </si>
  <si>
    <t>SOD323</t>
  </si>
  <si>
    <t>R620</t>
  </si>
  <si>
    <t>3V9</t>
  </si>
  <si>
    <t>BZX84C6V2</t>
  </si>
  <si>
    <t>R622</t>
  </si>
  <si>
    <t>0.25W</t>
  </si>
  <si>
    <t>R630</t>
  </si>
  <si>
    <t>GENERAL PURPOSE, DUAL SERIES</t>
  </si>
  <si>
    <t>PRTR5V0U2AX</t>
  </si>
  <si>
    <t>SOT143</t>
  </si>
  <si>
    <t>R631</t>
  </si>
  <si>
    <t>5V5</t>
  </si>
  <si>
    <t>TVS, DUAL USB</t>
  </si>
  <si>
    <t>MA2J11100L</t>
  </si>
  <si>
    <t>SMINI2</t>
  </si>
  <si>
    <t>R673</t>
  </si>
  <si>
    <t>0.1A</t>
  </si>
  <si>
    <t>PMEG1030EH.115</t>
  </si>
  <si>
    <t>SOD123F</t>
  </si>
  <si>
    <t>R678</t>
  </si>
  <si>
    <t>MMSZ5231BT10</t>
  </si>
  <si>
    <t>R682</t>
  </si>
  <si>
    <t>MM3Z3V3BCT</t>
  </si>
  <si>
    <t>R686</t>
  </si>
  <si>
    <t>B540CDICT</t>
  </si>
  <si>
    <t>R690</t>
  </si>
  <si>
    <t>USBLC-2SC6</t>
  </si>
  <si>
    <t>SOT23-6</t>
  </si>
  <si>
    <t>R694</t>
  </si>
  <si>
    <t>6V</t>
  </si>
  <si>
    <t>TVS, USB</t>
  </si>
  <si>
    <t>MMSZ5230ST10SCT</t>
  </si>
  <si>
    <t>R680</t>
  </si>
  <si>
    <t>4V7</t>
  </si>
  <si>
    <t>BAV70</t>
  </si>
  <si>
    <t>R684</t>
  </si>
  <si>
    <t>MMSZ4679T10SCT</t>
  </si>
  <si>
    <t>R688</t>
  </si>
  <si>
    <t>2V</t>
  </si>
  <si>
    <t>CENTRAL SEMICONDUCTOR</t>
  </si>
  <si>
    <t>CMDZ2L0</t>
  </si>
  <si>
    <t>R683</t>
  </si>
  <si>
    <t>OSRAM</t>
  </si>
  <si>
    <t>LRTBG6TG</t>
  </si>
  <si>
    <t>PLCC6</t>
  </si>
  <si>
    <t>R687</t>
  </si>
  <si>
    <t>RGB</t>
  </si>
  <si>
    <t>LED</t>
  </si>
  <si>
    <t>MMSZ5227BT10SCT</t>
  </si>
  <si>
    <t>R692</t>
  </si>
  <si>
    <t>BZX84-C5V1</t>
  </si>
  <si>
    <t>R706</t>
  </si>
  <si>
    <t>SM2T14A</t>
  </si>
  <si>
    <t>DO216</t>
  </si>
  <si>
    <t>R707</t>
  </si>
  <si>
    <t>12V</t>
  </si>
  <si>
    <t>TOSHIBA</t>
  </si>
  <si>
    <t>CMS04CT-ND</t>
  </si>
  <si>
    <t>MFLAT</t>
  </si>
  <si>
    <t>R714</t>
  </si>
  <si>
    <t>MM3Z3V6CCT-ND</t>
  </si>
  <si>
    <t>SOD323F</t>
  </si>
  <si>
    <t>R718</t>
  </si>
  <si>
    <t>MA116CT-ND</t>
  </si>
  <si>
    <t>R594</t>
  </si>
  <si>
    <t>USBLC6-4SC6</t>
  </si>
  <si>
    <t>R596, R603</t>
  </si>
  <si>
    <t>5.25V</t>
  </si>
  <si>
    <t>TVS,USB</t>
  </si>
  <si>
    <t>MA2Q70500LCT-ND</t>
  </si>
  <si>
    <t>NMINIP</t>
  </si>
  <si>
    <t>R601</t>
  </si>
  <si>
    <t>GI</t>
  </si>
  <si>
    <t>GBU8J</t>
  </si>
  <si>
    <t>A0467</t>
  </si>
  <si>
    <t>PEC</t>
  </si>
  <si>
    <t>10SQ050</t>
  </si>
  <si>
    <t>A0503</t>
  </si>
  <si>
    <t>MARS180, MARS175</t>
  </si>
  <si>
    <t>R744</t>
  </si>
  <si>
    <t>MBR230LSFT1G</t>
  </si>
  <si>
    <t>R745</t>
  </si>
  <si>
    <t>MBRS1100TRPBF</t>
  </si>
  <si>
    <t>R751</t>
  </si>
  <si>
    <t>PRTR5V0U2X,215</t>
  </si>
  <si>
    <t>SOD143B</t>
  </si>
  <si>
    <t>R760</t>
  </si>
  <si>
    <t>R763</t>
  </si>
  <si>
    <t>BAT54S RFG</t>
  </si>
  <si>
    <t>R774</t>
  </si>
  <si>
    <t>CM1223-02SO</t>
  </si>
  <si>
    <t>R771</t>
  </si>
  <si>
    <t>MBRA160T3G</t>
  </si>
  <si>
    <t>R783</t>
  </si>
  <si>
    <t>BAT54S</t>
  </si>
  <si>
    <t>R788</t>
  </si>
  <si>
    <t>BAT20JFILM</t>
  </si>
  <si>
    <t>R770</t>
  </si>
  <si>
    <t>HOTTECH</t>
  </si>
  <si>
    <t>BAT54A</t>
  </si>
  <si>
    <t>A0423</t>
  </si>
  <si>
    <t>A0425</t>
  </si>
  <si>
    <t>DLP05</t>
  </si>
  <si>
    <t>A0420</t>
  </si>
  <si>
    <t>1N5402</t>
  </si>
  <si>
    <t>A0691, A0692</t>
  </si>
  <si>
    <t>1N5820</t>
  </si>
  <si>
    <t>A0693, A0694</t>
  </si>
  <si>
    <t>TAITRON</t>
  </si>
  <si>
    <t>T6A05L</t>
  </si>
  <si>
    <t>A0695</t>
  </si>
  <si>
    <t>ON</t>
  </si>
  <si>
    <t>1N5817</t>
  </si>
  <si>
    <t>A0697</t>
  </si>
  <si>
    <t>1N457A</t>
  </si>
  <si>
    <t>A0709</t>
  </si>
  <si>
    <t>STPS3045CP</t>
  </si>
  <si>
    <t>TO247</t>
  </si>
  <si>
    <t>A0752</t>
  </si>
  <si>
    <t>GLASS</t>
  </si>
  <si>
    <t>A0790</t>
  </si>
  <si>
    <t>MOTOROLA</t>
  </si>
  <si>
    <t>A0852, A0853, A0854, A0855</t>
  </si>
  <si>
    <t>Display Type</t>
  </si>
  <si>
    <t>Characters</t>
  </si>
  <si>
    <t>VARITRONIX</t>
  </si>
  <si>
    <t>VIM-878-DP-RC-S-LV</t>
  </si>
  <si>
    <t>A0775</t>
  </si>
  <si>
    <t>LCD</t>
  </si>
  <si>
    <t>8 * 14SEG</t>
  </si>
  <si>
    <t>Impedance</t>
  </si>
  <si>
    <t>Isat</t>
  </si>
  <si>
    <t>HI1206N800R</t>
  </si>
  <si>
    <t>80Z</t>
  </si>
  <si>
    <t>R24, R25, R26</t>
  </si>
  <si>
    <t>FERRITE</t>
  </si>
  <si>
    <t>A0587</t>
  </si>
  <si>
    <t>6X7 BALUN</t>
  </si>
  <si>
    <t>PIGSNOUT</t>
  </si>
  <si>
    <t>A0451</t>
  </si>
  <si>
    <t>11X5X1</t>
  </si>
  <si>
    <t>CYLINDER</t>
  </si>
  <si>
    <t>3X3X1</t>
  </si>
  <si>
    <t>14MMX3MM</t>
  </si>
  <si>
    <t>A0495</t>
  </si>
  <si>
    <t>Current</t>
  </si>
  <si>
    <t>R409</t>
  </si>
  <si>
    <t>BUSSMAN</t>
  </si>
  <si>
    <t>SR-5-315MA-AP</t>
  </si>
  <si>
    <t>A0179</t>
  </si>
  <si>
    <t>MF-R005-2</t>
  </si>
  <si>
    <t>A0173</t>
  </si>
  <si>
    <t>SCHURTER</t>
  </si>
  <si>
    <t>0034.6038</t>
  </si>
  <si>
    <t>A0155</t>
  </si>
  <si>
    <t>MOUSER</t>
  </si>
  <si>
    <t>693-0034.6038</t>
  </si>
  <si>
    <t>251.500</t>
  </si>
  <si>
    <t>A0580</t>
  </si>
  <si>
    <t>251001</t>
  </si>
  <si>
    <t>A0622</t>
  </si>
  <si>
    <t>PICOFUSE</t>
  </si>
  <si>
    <t>A0633, A0645, A0685, A0683, A0655, A0636, A0654, A0669, A0660</t>
  </si>
  <si>
    <t>A0639, A0670</t>
  </si>
  <si>
    <t>A0637</t>
  </si>
  <si>
    <t>B59707A0120A062</t>
  </si>
  <si>
    <t>R611</t>
  </si>
  <si>
    <t>0805L035YR</t>
  </si>
  <si>
    <t>R747</t>
  </si>
  <si>
    <t>RUILON</t>
  </si>
  <si>
    <t>SMD0603P005TF</t>
  </si>
  <si>
    <t>R746</t>
  </si>
  <si>
    <t>50mA</t>
  </si>
  <si>
    <t>PRG21AR420MB1RA</t>
  </si>
  <si>
    <t>R784</t>
  </si>
  <si>
    <t>KTK-R-15</t>
  </si>
  <si>
    <t>A0526</t>
  </si>
  <si>
    <t>2AG 1/2A 224</t>
  </si>
  <si>
    <t>A0527</t>
  </si>
  <si>
    <t>ICtype</t>
  </si>
  <si>
    <t>TI</t>
  </si>
  <si>
    <t>TLC27L2CDR</t>
  </si>
  <si>
    <t>SO8</t>
  </si>
  <si>
    <t>R1, R2, R3</t>
  </si>
  <si>
    <t>OPAMP, DUAL, CMOS</t>
  </si>
  <si>
    <t>74V1G66</t>
  </si>
  <si>
    <t>SOT353</t>
  </si>
  <si>
    <t>R33</t>
  </si>
  <si>
    <t>SINGLEGATE LOGIC, SWITCH</t>
  </si>
  <si>
    <t>MICREL</t>
  </si>
  <si>
    <t>MIC2238-SSYML-TR</t>
  </si>
  <si>
    <t>R35</t>
  </si>
  <si>
    <t>REGULATOR, BUCK</t>
  </si>
  <si>
    <t>SN65LVDS1DBVR</t>
  </si>
  <si>
    <t>R36</t>
  </si>
  <si>
    <t>INTERFACE, DRIVER</t>
  </si>
  <si>
    <t>LM75AD,112</t>
  </si>
  <si>
    <t>R37</t>
  </si>
  <si>
    <t>SENSOR, TEMPERATURE</t>
  </si>
  <si>
    <t>PCF8591T</t>
  </si>
  <si>
    <t>SO16W</t>
  </si>
  <si>
    <t>R38</t>
  </si>
  <si>
    <t>AD-DA</t>
  </si>
  <si>
    <t>TS951</t>
  </si>
  <si>
    <t>SOT25</t>
  </si>
  <si>
    <t>R39</t>
  </si>
  <si>
    <t>OPAMP</t>
  </si>
  <si>
    <t>TS971</t>
  </si>
  <si>
    <t>R40</t>
  </si>
  <si>
    <t>7805CT</t>
  </si>
  <si>
    <t>R42</t>
  </si>
  <si>
    <t>REGULATOR</t>
  </si>
  <si>
    <t>TS942IN</t>
  </si>
  <si>
    <t>R43</t>
  </si>
  <si>
    <t>OPAMP, DUAL</t>
  </si>
  <si>
    <t>TS912IN</t>
  </si>
  <si>
    <t>R44</t>
  </si>
  <si>
    <t>OPAMP,DUAL</t>
  </si>
  <si>
    <t>TS972IN</t>
  </si>
  <si>
    <t>R45</t>
  </si>
  <si>
    <t>TS922IN</t>
  </si>
  <si>
    <t>R46</t>
  </si>
  <si>
    <t>TS952IN</t>
  </si>
  <si>
    <t>R47</t>
  </si>
  <si>
    <t>TS462CN</t>
  </si>
  <si>
    <t>R48</t>
  </si>
  <si>
    <t>TS922I</t>
  </si>
  <si>
    <t>R49</t>
  </si>
  <si>
    <t>TS924AI</t>
  </si>
  <si>
    <t>SO14</t>
  </si>
  <si>
    <t>R50</t>
  </si>
  <si>
    <t>OPAMP, QUAD</t>
  </si>
  <si>
    <t>TS925I</t>
  </si>
  <si>
    <t>TSSOP14</t>
  </si>
  <si>
    <t>R51</t>
  </si>
  <si>
    <t>TS942I</t>
  </si>
  <si>
    <t>R52</t>
  </si>
  <si>
    <t>TS914I</t>
  </si>
  <si>
    <t>R53</t>
  </si>
  <si>
    <t>TS954I</t>
  </si>
  <si>
    <t>R54</t>
  </si>
  <si>
    <t>TS904I</t>
  </si>
  <si>
    <t>R55</t>
  </si>
  <si>
    <t>TS912I</t>
  </si>
  <si>
    <t>R56</t>
  </si>
  <si>
    <t>TS462C</t>
  </si>
  <si>
    <t>R57</t>
  </si>
  <si>
    <t>TS972I</t>
  </si>
  <si>
    <t>R58</t>
  </si>
  <si>
    <t>TS974I</t>
  </si>
  <si>
    <t>R59</t>
  </si>
  <si>
    <t>TS902I</t>
  </si>
  <si>
    <t>R60</t>
  </si>
  <si>
    <t>TS464C</t>
  </si>
  <si>
    <t>R61</t>
  </si>
  <si>
    <t>TS461CLT</t>
  </si>
  <si>
    <t>R62</t>
  </si>
  <si>
    <t>TS952I</t>
  </si>
  <si>
    <t>R63</t>
  </si>
  <si>
    <t>R64</t>
  </si>
  <si>
    <t>CATALYST</t>
  </si>
  <si>
    <t>CAT25C01P</t>
  </si>
  <si>
    <t>R66</t>
  </si>
  <si>
    <t>MEMORY, SPI</t>
  </si>
  <si>
    <t>MAXIM</t>
  </si>
  <si>
    <t>MAX5513EUA+</t>
  </si>
  <si>
    <t>R67</t>
  </si>
  <si>
    <t>AD-DA, DAC 8-BIT</t>
  </si>
  <si>
    <t>MCP3428E/SL</t>
  </si>
  <si>
    <t>R68</t>
  </si>
  <si>
    <t>AD-DA, ADC 16-BIT</t>
  </si>
  <si>
    <t>ATMEL</t>
  </si>
  <si>
    <t>ATMEGA328P-AU</t>
  </si>
  <si>
    <t>R70</t>
  </si>
  <si>
    <t>MICROCONTROLLER</t>
  </si>
  <si>
    <t>ANALOG DEVICES</t>
  </si>
  <si>
    <t>AD623ARZ</t>
  </si>
  <si>
    <t>R71</t>
  </si>
  <si>
    <t>OPAMP, INSTRUMENTATION</t>
  </si>
  <si>
    <t>AD822A</t>
  </si>
  <si>
    <t>R72</t>
  </si>
  <si>
    <t>OPAMP, DUAL, PRECISION</t>
  </si>
  <si>
    <t>LINEAR TECHNOLOGIES</t>
  </si>
  <si>
    <t>LT1490ACS8</t>
  </si>
  <si>
    <t>R73</t>
  </si>
  <si>
    <t>MCP4812E/SN</t>
  </si>
  <si>
    <t>R74</t>
  </si>
  <si>
    <t>AD-DA, DAC 10 BIT</t>
  </si>
  <si>
    <t>ISSI</t>
  </si>
  <si>
    <t>IS25C08-2GLI</t>
  </si>
  <si>
    <t>R75</t>
  </si>
  <si>
    <t>MEMORY</t>
  </si>
  <si>
    <t>LT1931</t>
  </si>
  <si>
    <t>R76</t>
  </si>
  <si>
    <t>REGULATOR, INVERTING</t>
  </si>
  <si>
    <t>MCP3208-CI/SI</t>
  </si>
  <si>
    <t>SO16</t>
  </si>
  <si>
    <t>R77</t>
  </si>
  <si>
    <t>MCP4902-E/SL</t>
  </si>
  <si>
    <t>R78</t>
  </si>
  <si>
    <t>LM2594M-3.3</t>
  </si>
  <si>
    <t>R79</t>
  </si>
  <si>
    <t>MAX1036EKA+T</t>
  </si>
  <si>
    <t>R80</t>
  </si>
  <si>
    <t>LM2674M-ADJ</t>
  </si>
  <si>
    <t>R81</t>
  </si>
  <si>
    <t>LT1377</t>
  </si>
  <si>
    <t>R82</t>
  </si>
  <si>
    <t>MAX5721EUA+</t>
  </si>
  <si>
    <t>R83</t>
  </si>
  <si>
    <t>TLC59161D</t>
  </si>
  <si>
    <t>R84</t>
  </si>
  <si>
    <t>TC55RP3302ECB713</t>
  </si>
  <si>
    <t>R85</t>
  </si>
  <si>
    <t xml:space="preserve"> LM317EMP</t>
  </si>
  <si>
    <t>SOT223</t>
  </si>
  <si>
    <t>R86, R98</t>
  </si>
  <si>
    <t>LMV331</t>
  </si>
  <si>
    <t>R87</t>
  </si>
  <si>
    <t>LT1004CDR-1-2</t>
  </si>
  <si>
    <t>R88</t>
  </si>
  <si>
    <t>MCP4362-103E/ST</t>
  </si>
  <si>
    <t>R89</t>
  </si>
  <si>
    <t>TLC5925IDBQR</t>
  </si>
  <si>
    <t>R90</t>
  </si>
  <si>
    <t>MCP4161-10</t>
  </si>
  <si>
    <t>R91</t>
  </si>
  <si>
    <t>MCP73832T-2ACI/DT</t>
  </si>
  <si>
    <t>R92</t>
  </si>
  <si>
    <t>LT1490A</t>
  </si>
  <si>
    <t>R93</t>
  </si>
  <si>
    <t>AP7331-WG-7</t>
  </si>
  <si>
    <t>R94</t>
  </si>
  <si>
    <t>LT1930AES5</t>
  </si>
  <si>
    <t>R97</t>
  </si>
  <si>
    <t>LM4041DEM3-ADJ/NOPB</t>
  </si>
  <si>
    <t>R99</t>
  </si>
  <si>
    <t>LM431ACM</t>
  </si>
  <si>
    <t>R100</t>
  </si>
  <si>
    <t>LT1372I</t>
  </si>
  <si>
    <t>R101</t>
  </si>
  <si>
    <t>MAX1651ESA</t>
  </si>
  <si>
    <t>R102</t>
  </si>
  <si>
    <t>FTDI</t>
  </si>
  <si>
    <t>FT245BM</t>
  </si>
  <si>
    <t>R103, R109</t>
  </si>
  <si>
    <t>XILINX</t>
  </si>
  <si>
    <t>XC9536</t>
  </si>
  <si>
    <t>R104</t>
  </si>
  <si>
    <t>FT2232C</t>
  </si>
  <si>
    <t>R105</t>
  </si>
  <si>
    <t>MITSUBISHI</t>
  </si>
  <si>
    <t>M5M5V416BTP-70</t>
  </si>
  <si>
    <t>R106, R230, A0783</t>
  </si>
  <si>
    <t>AT89C52</t>
  </si>
  <si>
    <t>PLCC44</t>
  </si>
  <si>
    <t>R107</t>
  </si>
  <si>
    <t>93C46BI/SN0402</t>
  </si>
  <si>
    <t>R108</t>
  </si>
  <si>
    <t>MAX213CWI</t>
  </si>
  <si>
    <t>R110</t>
  </si>
  <si>
    <t>MAX509BCPW</t>
  </si>
  <si>
    <t>R111</t>
  </si>
  <si>
    <t>AT27C256R-70RC</t>
  </si>
  <si>
    <t>R112</t>
  </si>
  <si>
    <t>ATTINY45</t>
  </si>
  <si>
    <t>R132</t>
  </si>
  <si>
    <t>CPU</t>
  </si>
  <si>
    <t>PCF8563</t>
  </si>
  <si>
    <t>R130</t>
  </si>
  <si>
    <t>74LCX08MTR</t>
  </si>
  <si>
    <t>R134</t>
  </si>
  <si>
    <t>LOGIC</t>
  </si>
  <si>
    <t>PCA9534DB</t>
  </si>
  <si>
    <t>TSSOP16</t>
  </si>
  <si>
    <t>R138, R139, R140</t>
  </si>
  <si>
    <t>TLC272</t>
  </si>
  <si>
    <t>R133</t>
  </si>
  <si>
    <t>74HCT573</t>
  </si>
  <si>
    <t>SO20W</t>
  </si>
  <si>
    <t>R142</t>
  </si>
  <si>
    <t>74HCT244</t>
  </si>
  <si>
    <t>R143</t>
  </si>
  <si>
    <t>74LCX86</t>
  </si>
  <si>
    <t>R153</t>
  </si>
  <si>
    <t>74LCX573 74HC573</t>
  </si>
  <si>
    <t>TSSOP20</t>
  </si>
  <si>
    <t>R149</t>
  </si>
  <si>
    <t>FAIRCHIL</t>
  </si>
  <si>
    <t>74VHC00</t>
  </si>
  <si>
    <t>R146</t>
  </si>
  <si>
    <t>74HCT00</t>
  </si>
  <si>
    <t>74HC573</t>
  </si>
  <si>
    <t>74V1G125</t>
  </si>
  <si>
    <t>R144</t>
  </si>
  <si>
    <t>74V1G32</t>
  </si>
  <si>
    <t>R147</t>
  </si>
  <si>
    <t>74V1G14</t>
  </si>
  <si>
    <t>R145</t>
  </si>
  <si>
    <t>74LCX14</t>
  </si>
  <si>
    <t>R155</t>
  </si>
  <si>
    <t>74LCX04</t>
  </si>
  <si>
    <t>R150</t>
  </si>
  <si>
    <t>74LCX244</t>
  </si>
  <si>
    <t>R151</t>
  </si>
  <si>
    <t>74ABT240</t>
  </si>
  <si>
    <t>R156</t>
  </si>
  <si>
    <t>74LCX08</t>
  </si>
  <si>
    <t>R160</t>
  </si>
  <si>
    <t>NATSEMI</t>
  </si>
  <si>
    <t>LMC555</t>
  </si>
  <si>
    <t>R157</t>
  </si>
  <si>
    <t>74LCX32</t>
  </si>
  <si>
    <t>R154</t>
  </si>
  <si>
    <t>74LCX02</t>
  </si>
  <si>
    <t>R159</t>
  </si>
  <si>
    <t>LMC6482IM</t>
  </si>
  <si>
    <t>R158</t>
  </si>
  <si>
    <t>74HC74</t>
  </si>
  <si>
    <t>R152</t>
  </si>
  <si>
    <t>74HC132</t>
  </si>
  <si>
    <t>R148</t>
  </si>
  <si>
    <t>AD811JRZ</t>
  </si>
  <si>
    <t>R135</t>
  </si>
  <si>
    <t>SN65HVD230DR</t>
  </si>
  <si>
    <t>R131</t>
  </si>
  <si>
    <t>SILICONIX</t>
  </si>
  <si>
    <t>DG409</t>
  </si>
  <si>
    <t>R181, R183, R185</t>
  </si>
  <si>
    <t>ANALOG SWITCH</t>
  </si>
  <si>
    <t>AD8016ARP</t>
  </si>
  <si>
    <t>R180, R182</t>
  </si>
  <si>
    <t>AD8016ARB</t>
  </si>
  <si>
    <t>R184, R238, R242, R246, R237</t>
  </si>
  <si>
    <t>LT1442</t>
  </si>
  <si>
    <t>R186, R187</t>
  </si>
  <si>
    <t>LM393</t>
  </si>
  <si>
    <t>R188 TO R192</t>
  </si>
  <si>
    <t>DUAL COMPARATOR</t>
  </si>
  <si>
    <t>TPS62110</t>
  </si>
  <si>
    <t>R193</t>
  </si>
  <si>
    <t>MAX6520EUR</t>
  </si>
  <si>
    <t>R194</t>
  </si>
  <si>
    <t>MCP130T-315I/TT</t>
  </si>
  <si>
    <t>R201</t>
  </si>
  <si>
    <t>LF50</t>
  </si>
  <si>
    <t>R221</t>
  </si>
  <si>
    <t>LT1250</t>
  </si>
  <si>
    <t>R199</t>
  </si>
  <si>
    <t>MAX4550CWI</t>
  </si>
  <si>
    <t>R208</t>
  </si>
  <si>
    <t>LM2598S-3.3</t>
  </si>
  <si>
    <t>R213</t>
  </si>
  <si>
    <t>LM2676S-3.3</t>
  </si>
  <si>
    <t>R217, R218</t>
  </si>
  <si>
    <t>LM2585S-ADJ</t>
  </si>
  <si>
    <t>R219</t>
  </si>
  <si>
    <t>LM2586S-ADJ</t>
  </si>
  <si>
    <t>R220</t>
  </si>
  <si>
    <t>FT2232D</t>
  </si>
  <si>
    <t>R209</t>
  </si>
  <si>
    <t>LT1676</t>
  </si>
  <si>
    <t>R205</t>
  </si>
  <si>
    <t>MAX1759EUB</t>
  </si>
  <si>
    <t>R195</t>
  </si>
  <si>
    <t>MAX1864TEEE</t>
  </si>
  <si>
    <t>R196</t>
  </si>
  <si>
    <t>NC7SZ125</t>
  </si>
  <si>
    <t>R197</t>
  </si>
  <si>
    <t>MAX1795EUA</t>
  </si>
  <si>
    <t>R198</t>
  </si>
  <si>
    <t>MAX4360EAX</t>
  </si>
  <si>
    <t>R204</t>
  </si>
  <si>
    <t>93C46</t>
  </si>
  <si>
    <t>R206</t>
  </si>
  <si>
    <t>93LC46B</t>
  </si>
  <si>
    <t>R203</t>
  </si>
  <si>
    <t>MAX1865T</t>
  </si>
  <si>
    <t>R207</t>
  </si>
  <si>
    <t>LM2597M-ADJ</t>
  </si>
  <si>
    <t>R224</t>
  </si>
  <si>
    <t>LM2594M-ADJ</t>
  </si>
  <si>
    <t>R222</t>
  </si>
  <si>
    <t>LM2597M-3.3</t>
  </si>
  <si>
    <t>R223</t>
  </si>
  <si>
    <t>MAX1856EUB</t>
  </si>
  <si>
    <t>R200</t>
  </si>
  <si>
    <t>MAX1848</t>
  </si>
  <si>
    <t>SOT28</t>
  </si>
  <si>
    <t>R202</t>
  </si>
  <si>
    <t>LD2980-3.3</t>
  </si>
  <si>
    <t>R215</t>
  </si>
  <si>
    <t>MAX3232</t>
  </si>
  <si>
    <t>R275 - R288</t>
  </si>
  <si>
    <t>MAX458</t>
  </si>
  <si>
    <t>R268</t>
  </si>
  <si>
    <t>MAX456</t>
  </si>
  <si>
    <t>R272</t>
  </si>
  <si>
    <t>ULN2803</t>
  </si>
  <si>
    <t>SO18W</t>
  </si>
  <si>
    <t>R271</t>
  </si>
  <si>
    <t>DS1666S-010</t>
  </si>
  <si>
    <t>R273</t>
  </si>
  <si>
    <t>MAX496CPE</t>
  </si>
  <si>
    <t>R266</t>
  </si>
  <si>
    <t>MAX552CPA</t>
  </si>
  <si>
    <t>R269</t>
  </si>
  <si>
    <t>MAX497</t>
  </si>
  <si>
    <t>R274</t>
  </si>
  <si>
    <t>MAX4169ESD</t>
  </si>
  <si>
    <t>R262</t>
  </si>
  <si>
    <t>MAX4168ESD</t>
  </si>
  <si>
    <t>R270</t>
  </si>
  <si>
    <t>LTC1386CS</t>
  </si>
  <si>
    <t>R260</t>
  </si>
  <si>
    <t>MAX708RESA</t>
  </si>
  <si>
    <t>R264, R263, R261, R259</t>
  </si>
  <si>
    <t>SGS</t>
  </si>
  <si>
    <t>741C</t>
  </si>
  <si>
    <t>R257</t>
  </si>
  <si>
    <t>LM339</t>
  </si>
  <si>
    <t>R258</t>
  </si>
  <si>
    <t>QUAD COMPARATOR</t>
  </si>
  <si>
    <t>MAX232</t>
  </si>
  <si>
    <t>R265</t>
  </si>
  <si>
    <t>MAX7428</t>
  </si>
  <si>
    <t>R267</t>
  </si>
  <si>
    <t>LM2940IS-3.3</t>
  </si>
  <si>
    <t>R247,R253</t>
  </si>
  <si>
    <t>LD1117</t>
  </si>
  <si>
    <t>R239, R243, R228, R249</t>
  </si>
  <si>
    <t>78M05</t>
  </si>
  <si>
    <t>R245, R227</t>
  </si>
  <si>
    <t>LF18A</t>
  </si>
  <si>
    <t>DPAK5</t>
  </si>
  <si>
    <t>R241, R235</t>
  </si>
  <si>
    <t>LT1117</t>
  </si>
  <si>
    <t>R225</t>
  </si>
  <si>
    <t>L6932D1.2</t>
  </si>
  <si>
    <t>R233</t>
  </si>
  <si>
    <t>IRU3037CS</t>
  </si>
  <si>
    <t>R226</t>
  </si>
  <si>
    <t>L6932D1.8</t>
  </si>
  <si>
    <t>R229</t>
  </si>
  <si>
    <t>ALLIANCE</t>
  </si>
  <si>
    <t>AS7C340098-15TI</t>
  </si>
  <si>
    <t>R256</t>
  </si>
  <si>
    <t>SST</t>
  </si>
  <si>
    <t>SST38VF166-70-4C-EK</t>
  </si>
  <si>
    <t>R252</t>
  </si>
  <si>
    <t>SAMSUNG</t>
  </si>
  <si>
    <t>K4S161622D-TC80</t>
  </si>
  <si>
    <t>R255</t>
  </si>
  <si>
    <t>TC55V16100FT-12</t>
  </si>
  <si>
    <t>R251</t>
  </si>
  <si>
    <t>BB1117</t>
  </si>
  <si>
    <t>R231</t>
  </si>
  <si>
    <t>ADSL FUSE</t>
  </si>
  <si>
    <t>R236</t>
  </si>
  <si>
    <t>LP3964-2.5</t>
  </si>
  <si>
    <t>R244</t>
  </si>
  <si>
    <t>AT29LV040A</t>
  </si>
  <si>
    <t>R254</t>
  </si>
  <si>
    <t>LM3940IS-3.3</t>
  </si>
  <si>
    <t>R232</t>
  </si>
  <si>
    <t>TPS76333</t>
  </si>
  <si>
    <t>R250</t>
  </si>
  <si>
    <t>740L6000</t>
  </si>
  <si>
    <t>R305, R317</t>
  </si>
  <si>
    <t>DIGITAL OPTOCOUPLER</t>
  </si>
  <si>
    <t>Q</t>
  </si>
  <si>
    <t>952S</t>
  </si>
  <si>
    <t>R309 - R316</t>
  </si>
  <si>
    <t>DUAL OPTOCOUPLER</t>
  </si>
  <si>
    <t>LM334Z</t>
  </si>
  <si>
    <t>TO92</t>
  </si>
  <si>
    <t>23739</t>
  </si>
  <si>
    <t>CURRENT SOURCE</t>
  </si>
  <si>
    <t>LM385Z-1.2</t>
  </si>
  <si>
    <t>24117</t>
  </si>
  <si>
    <t>VOLTAGE REFERENCE</t>
  </si>
  <si>
    <t>74HC132N</t>
  </si>
  <si>
    <t>45321</t>
  </si>
  <si>
    <t>LMC6062IN</t>
  </si>
  <si>
    <t>2045122</t>
  </si>
  <si>
    <t>LF411CP</t>
  </si>
  <si>
    <t>23018</t>
  </si>
  <si>
    <t>LM2904P</t>
  </si>
  <si>
    <t>2308551</t>
  </si>
  <si>
    <t>LF412</t>
  </si>
  <si>
    <t>23026</t>
  </si>
  <si>
    <t>NATIONAL</t>
  </si>
  <si>
    <t>LP2980-ADJ</t>
  </si>
  <si>
    <t>R353, R354</t>
  </si>
  <si>
    <t>24C03</t>
  </si>
  <si>
    <t>R365, R366, R367,R369, R372, R370, R371</t>
  </si>
  <si>
    <t>ANALOG</t>
  </si>
  <si>
    <t>OPA1632</t>
  </si>
  <si>
    <t>MSOP8</t>
  </si>
  <si>
    <t>R356</t>
  </si>
  <si>
    <t>AD5243BRMZ10</t>
  </si>
  <si>
    <t>R355</t>
  </si>
  <si>
    <t>ALTERA</t>
  </si>
  <si>
    <t>EPC1441PC8</t>
  </si>
  <si>
    <t>R383</t>
  </si>
  <si>
    <t>TPS2041P</t>
  </si>
  <si>
    <t>R378</t>
  </si>
  <si>
    <t>LM2595T-5.0</t>
  </si>
  <si>
    <t>R379</t>
  </si>
  <si>
    <t>XICOR</t>
  </si>
  <si>
    <t>X25128P</t>
  </si>
  <si>
    <t>R375, R376</t>
  </si>
  <si>
    <t>TUSB2077A</t>
  </si>
  <si>
    <t>R377</t>
  </si>
  <si>
    <t>TPS2044</t>
  </si>
  <si>
    <t>R384</t>
  </si>
  <si>
    <t>TPS2052</t>
  </si>
  <si>
    <t>R380</t>
  </si>
  <si>
    <t>7805</t>
  </si>
  <si>
    <t>MARS122A</t>
  </si>
  <si>
    <t>REGULATOR, POSITIVE, LINEAR</t>
  </si>
  <si>
    <t>7812</t>
  </si>
  <si>
    <t>MARS122B</t>
  </si>
  <si>
    <t>7815</t>
  </si>
  <si>
    <t>MARS122C</t>
  </si>
  <si>
    <t>7818</t>
  </si>
  <si>
    <t>MARS123A</t>
  </si>
  <si>
    <t>7824</t>
  </si>
  <si>
    <t>MARS123B</t>
  </si>
  <si>
    <t>LINEAR</t>
  </si>
  <si>
    <t>LT1083</t>
  </si>
  <si>
    <t>TO237</t>
  </si>
  <si>
    <t>MARS123C</t>
  </si>
  <si>
    <t>7905</t>
  </si>
  <si>
    <t>MARS124A</t>
  </si>
  <si>
    <t>7912</t>
  </si>
  <si>
    <t>MARS124B</t>
  </si>
  <si>
    <t>7915</t>
  </si>
  <si>
    <t>MARS124C</t>
  </si>
  <si>
    <t>LM317</t>
  </si>
  <si>
    <t>MARS125A</t>
  </si>
  <si>
    <t>LM337</t>
  </si>
  <si>
    <t>MARS125B</t>
  </si>
  <si>
    <t>PCF8574</t>
  </si>
  <si>
    <t>MARS126A</t>
  </si>
  <si>
    <t>PCF8591</t>
  </si>
  <si>
    <t>MARS126B</t>
  </si>
  <si>
    <t>AD558</t>
  </si>
  <si>
    <t>MARS127A</t>
  </si>
  <si>
    <t>ADM693</t>
  </si>
  <si>
    <t>MARS127B</t>
  </si>
  <si>
    <t>L6202</t>
  </si>
  <si>
    <t>MARS127C</t>
  </si>
  <si>
    <t>APC1441</t>
  </si>
  <si>
    <t>MARS127D</t>
  </si>
  <si>
    <t>LM2678-3.3</t>
  </si>
  <si>
    <t>MARS128A</t>
  </si>
  <si>
    <t>LM318</t>
  </si>
  <si>
    <t>MARS128B</t>
  </si>
  <si>
    <t>PCF8582</t>
  </si>
  <si>
    <t>MARS128C</t>
  </si>
  <si>
    <t>LINEAR TECH</t>
  </si>
  <si>
    <t>LT1074</t>
  </si>
  <si>
    <t>MARS129A</t>
  </si>
  <si>
    <t>NTAIONAL</t>
  </si>
  <si>
    <t>LMD18200</t>
  </si>
  <si>
    <t>MARS129B</t>
  </si>
  <si>
    <t>LMD18201</t>
  </si>
  <si>
    <t>MARS129C</t>
  </si>
  <si>
    <t>LM675</t>
  </si>
  <si>
    <t>MARS130A</t>
  </si>
  <si>
    <t>ELANTEC</t>
  </si>
  <si>
    <t>EL2008</t>
  </si>
  <si>
    <t>MARS130B</t>
  </si>
  <si>
    <t>TL074</t>
  </si>
  <si>
    <t>MARS131A</t>
  </si>
  <si>
    <t>TL084</t>
  </si>
  <si>
    <t>MARS131B</t>
  </si>
  <si>
    <t>24C02</t>
  </si>
  <si>
    <t>MARS132A</t>
  </si>
  <si>
    <t>24C04</t>
  </si>
  <si>
    <t>MARS132B</t>
  </si>
  <si>
    <t>25128</t>
  </si>
  <si>
    <t>MARS132C</t>
  </si>
  <si>
    <t>P82B715</t>
  </si>
  <si>
    <t>MARS132D</t>
  </si>
  <si>
    <t>MARS133</t>
  </si>
  <si>
    <t>ULN2003</t>
  </si>
  <si>
    <t>MARS134A</t>
  </si>
  <si>
    <t>MARS134B</t>
  </si>
  <si>
    <t>MC1488</t>
  </si>
  <si>
    <t>MARS135A</t>
  </si>
  <si>
    <t>MC1489</t>
  </si>
  <si>
    <t>MARS135B</t>
  </si>
  <si>
    <t>L200</t>
  </si>
  <si>
    <t>MARS135C</t>
  </si>
  <si>
    <t>NEC</t>
  </si>
  <si>
    <t>UPC1651</t>
  </si>
  <si>
    <t>MARS135D</t>
  </si>
  <si>
    <t>TIL919</t>
  </si>
  <si>
    <t>MARS136</t>
  </si>
  <si>
    <t>MCT6</t>
  </si>
  <si>
    <t>MARS137A</t>
  </si>
  <si>
    <t>74OL6000</t>
  </si>
  <si>
    <t>MARS137B</t>
  </si>
  <si>
    <t>LM323</t>
  </si>
  <si>
    <t>MARS138A</t>
  </si>
  <si>
    <t>LM324</t>
  </si>
  <si>
    <t>MARS138B</t>
  </si>
  <si>
    <t>LM335</t>
  </si>
  <si>
    <t>MARS138C</t>
  </si>
  <si>
    <t>LM336</t>
  </si>
  <si>
    <t>MARS138D</t>
  </si>
  <si>
    <t>AD811</t>
  </si>
  <si>
    <t>MARS139A</t>
  </si>
  <si>
    <t>MARS139B</t>
  </si>
  <si>
    <t>NE5534</t>
  </si>
  <si>
    <t>MARS139C</t>
  </si>
  <si>
    <t>LM3914</t>
  </si>
  <si>
    <t>MARS139D</t>
  </si>
  <si>
    <t>LF13332</t>
  </si>
  <si>
    <t>MARS140A</t>
  </si>
  <si>
    <t>LF13508</t>
  </si>
  <si>
    <t>MARS140B</t>
  </si>
  <si>
    <t>LF355</t>
  </si>
  <si>
    <t>MARS140C</t>
  </si>
  <si>
    <t>LF441</t>
  </si>
  <si>
    <t>MARS140D</t>
  </si>
  <si>
    <t>MAX712</t>
  </si>
  <si>
    <t>MARS126C</t>
  </si>
  <si>
    <t>MAX713</t>
  </si>
  <si>
    <t>MARS126D</t>
  </si>
  <si>
    <t>74HC00</t>
  </si>
  <si>
    <t>MARS156</t>
  </si>
  <si>
    <t>74HC02</t>
  </si>
  <si>
    <t>74HC03</t>
  </si>
  <si>
    <t>74HC11</t>
  </si>
  <si>
    <t>MARS158</t>
  </si>
  <si>
    <t>74HC14</t>
  </si>
  <si>
    <t>74HC20</t>
  </si>
  <si>
    <t>MARS167</t>
  </si>
  <si>
    <t>74HC86</t>
  </si>
  <si>
    <t>74HC138</t>
  </si>
  <si>
    <t>MARS162</t>
  </si>
  <si>
    <t>74HC244</t>
  </si>
  <si>
    <t>74HC245</t>
  </si>
  <si>
    <t>74HC373</t>
  </si>
  <si>
    <t>74HC04</t>
  </si>
  <si>
    <t>MARS157</t>
  </si>
  <si>
    <t>74HC08</t>
  </si>
  <si>
    <t>74HC10</t>
  </si>
  <si>
    <t>74HC21</t>
  </si>
  <si>
    <t>MARS166</t>
  </si>
  <si>
    <t>74HC27</t>
  </si>
  <si>
    <t>74HC32</t>
  </si>
  <si>
    <t>74HC151</t>
  </si>
  <si>
    <t>MARS168</t>
  </si>
  <si>
    <t>74HC153</t>
  </si>
  <si>
    <t>74HC257</t>
  </si>
  <si>
    <t>74F299</t>
  </si>
  <si>
    <t>74HCT541</t>
  </si>
  <si>
    <t>MARS163</t>
  </si>
  <si>
    <t>74HCT574</t>
  </si>
  <si>
    <t>74HCT688</t>
  </si>
  <si>
    <t>74HC688</t>
  </si>
  <si>
    <t>MARS159</t>
  </si>
  <si>
    <t>74HC374</t>
  </si>
  <si>
    <t>74HC299</t>
  </si>
  <si>
    <t>74HC4538</t>
  </si>
  <si>
    <t>MARS160</t>
  </si>
  <si>
    <t>74HC4075</t>
  </si>
  <si>
    <t>74HC4040</t>
  </si>
  <si>
    <t>74HC4017</t>
  </si>
  <si>
    <t>74HC251</t>
  </si>
  <si>
    <t>MARS164</t>
  </si>
  <si>
    <t>74HC163</t>
  </si>
  <si>
    <t>74HC137</t>
  </si>
  <si>
    <t>74HC126</t>
  </si>
  <si>
    <t>MARS170</t>
  </si>
  <si>
    <t>74HC240</t>
  </si>
  <si>
    <t>74HC125</t>
  </si>
  <si>
    <t>74HC123</t>
  </si>
  <si>
    <t>74HC368</t>
  </si>
  <si>
    <t>MARS169</t>
  </si>
  <si>
    <t>74HC279</t>
  </si>
  <si>
    <t>74F569</t>
  </si>
  <si>
    <t>74HC266</t>
  </si>
  <si>
    <t>74HC191</t>
  </si>
  <si>
    <t>74HC148</t>
  </si>
  <si>
    <t>74F374</t>
  </si>
  <si>
    <t>74F381</t>
  </si>
  <si>
    <t>74F373</t>
  </si>
  <si>
    <t>74F579</t>
  </si>
  <si>
    <t>74F379</t>
  </si>
  <si>
    <t>74LS74</t>
  </si>
  <si>
    <t>MINI CIRCUITS</t>
  </si>
  <si>
    <t>MCL T4-2</t>
  </si>
  <si>
    <t>DIP6</t>
  </si>
  <si>
    <t>MCL T1-6T</t>
  </si>
  <si>
    <t>MCL Y1-6T</t>
  </si>
  <si>
    <t>MCL T8-1</t>
  </si>
  <si>
    <t>AT89C251</t>
  </si>
  <si>
    <t>MARS141A</t>
  </si>
  <si>
    <t>AT89C8252</t>
  </si>
  <si>
    <t>MARS141B</t>
  </si>
  <si>
    <t>87C52</t>
  </si>
  <si>
    <t>DIP40</t>
  </si>
  <si>
    <t>MARS142</t>
  </si>
  <si>
    <t>87C528</t>
  </si>
  <si>
    <t>89LV51</t>
  </si>
  <si>
    <t>MARS143</t>
  </si>
  <si>
    <t>89C52</t>
  </si>
  <si>
    <t>DALLAS</t>
  </si>
  <si>
    <t>DS5000T</t>
  </si>
  <si>
    <t>MARS144</t>
  </si>
  <si>
    <t>27C1024</t>
  </si>
  <si>
    <t>27C2048</t>
  </si>
  <si>
    <t>7924</t>
  </si>
  <si>
    <t>TEMIC</t>
  </si>
  <si>
    <t>80C32</t>
  </si>
  <si>
    <t>MARS146</t>
  </si>
  <si>
    <t>LM2925</t>
  </si>
  <si>
    <t>TO220-5</t>
  </si>
  <si>
    <t>MARS147</t>
  </si>
  <si>
    <t>LM2595-3.3</t>
  </si>
  <si>
    <t>LM2595-5.0</t>
  </si>
  <si>
    <t>LM2575-5.0</t>
  </si>
  <si>
    <t>TL072</t>
  </si>
  <si>
    <t>MARS148</t>
  </si>
  <si>
    <t>TL081</t>
  </si>
  <si>
    <t>OP07</t>
  </si>
  <si>
    <t>NE555</t>
  </si>
  <si>
    <t>MARS149</t>
  </si>
  <si>
    <t>NE556</t>
  </si>
  <si>
    <t>NE566</t>
  </si>
  <si>
    <t>NE567</t>
  </si>
  <si>
    <t>HITACH</t>
  </si>
  <si>
    <t>62256</t>
  </si>
  <si>
    <t>DIP28</t>
  </si>
  <si>
    <t>MARS150</t>
  </si>
  <si>
    <t>HITACHI</t>
  </si>
  <si>
    <t>43256</t>
  </si>
  <si>
    <t>AD790</t>
  </si>
  <si>
    <t>MARS151</t>
  </si>
  <si>
    <t>OP27</t>
  </si>
  <si>
    <t>OP37</t>
  </si>
  <si>
    <t>OPA620</t>
  </si>
  <si>
    <t>MARS152</t>
  </si>
  <si>
    <t>LM358</t>
  </si>
  <si>
    <t>LM741</t>
  </si>
  <si>
    <t>LM2676-3.3</t>
  </si>
  <si>
    <t>LT1085</t>
  </si>
  <si>
    <t>PHILIPS</t>
  </si>
  <si>
    <t>TDA1515</t>
  </si>
  <si>
    <t>INTERSIL</t>
  </si>
  <si>
    <t>ICL7106</t>
  </si>
  <si>
    <t>MARS154</t>
  </si>
  <si>
    <t>ICL7107</t>
  </si>
  <si>
    <t>ICL7109</t>
  </si>
  <si>
    <t>MARS155</t>
  </si>
  <si>
    <t>ICL7135</t>
  </si>
  <si>
    <t>MAX133</t>
  </si>
  <si>
    <t>MAX708</t>
  </si>
  <si>
    <t>R403</t>
  </si>
  <si>
    <t>PCA9554</t>
  </si>
  <si>
    <t>TSSOP</t>
  </si>
  <si>
    <t>R414</t>
  </si>
  <si>
    <t>PCA9544</t>
  </si>
  <si>
    <t>R413</t>
  </si>
  <si>
    <t>24LC64</t>
  </si>
  <si>
    <t>TSSOP8</t>
  </si>
  <si>
    <t>R412</t>
  </si>
  <si>
    <t>74HCT597</t>
  </si>
  <si>
    <t>R411</t>
  </si>
  <si>
    <t>AD</t>
  </si>
  <si>
    <t>AD825ARZ</t>
  </si>
  <si>
    <t>R410</t>
  </si>
  <si>
    <t>74LCX574</t>
  </si>
  <si>
    <t>R408</t>
  </si>
  <si>
    <t>74HC221</t>
  </si>
  <si>
    <t>SO</t>
  </si>
  <si>
    <t>R406</t>
  </si>
  <si>
    <t>PCA9544AD</t>
  </si>
  <si>
    <t>R405</t>
  </si>
  <si>
    <t>R407</t>
  </si>
  <si>
    <t>74V1G86</t>
  </si>
  <si>
    <t>R394</t>
  </si>
  <si>
    <t>74V1G4066</t>
  </si>
  <si>
    <t>R392</t>
  </si>
  <si>
    <t>74V1G08</t>
  </si>
  <si>
    <t>R387</t>
  </si>
  <si>
    <t>AD812</t>
  </si>
  <si>
    <t>R395</t>
  </si>
  <si>
    <t>MAX6383 XR24D2</t>
  </si>
  <si>
    <t>R481</t>
  </si>
  <si>
    <t>MAX6103</t>
  </si>
  <si>
    <t>R482</t>
  </si>
  <si>
    <t>AD8531</t>
  </si>
  <si>
    <t>R483, R484</t>
  </si>
  <si>
    <t>MAX6835 FXSD0-T</t>
  </si>
  <si>
    <t>R485</t>
  </si>
  <si>
    <t>R486</t>
  </si>
  <si>
    <t>MAX4450EUK</t>
  </si>
  <si>
    <t>R487</t>
  </si>
  <si>
    <t>MC33164</t>
  </si>
  <si>
    <t>R488, R490</t>
  </si>
  <si>
    <t>R489</t>
  </si>
  <si>
    <t>TS431AILT</t>
  </si>
  <si>
    <t>R492</t>
  </si>
  <si>
    <t>CC3000MOD</t>
  </si>
  <si>
    <t>MODULE</t>
  </si>
  <si>
    <t>R494</t>
  </si>
  <si>
    <t>HM62256</t>
  </si>
  <si>
    <t>SO28</t>
  </si>
  <si>
    <t>R495</t>
  </si>
  <si>
    <t>SO20</t>
  </si>
  <si>
    <t>R496, R497</t>
  </si>
  <si>
    <t>R498, R503</t>
  </si>
  <si>
    <t>TSA5510</t>
  </si>
  <si>
    <t>R499</t>
  </si>
  <si>
    <t>LEDTESTER PCB</t>
  </si>
  <si>
    <t>R500</t>
  </si>
  <si>
    <t>SILABS</t>
  </si>
  <si>
    <t>SI4705-D60-GU-ND</t>
  </si>
  <si>
    <t>R501</t>
  </si>
  <si>
    <t>74HC574</t>
  </si>
  <si>
    <t>R502</t>
  </si>
  <si>
    <t>LF442</t>
  </si>
  <si>
    <t>A0116, A0053, A0064</t>
  </si>
  <si>
    <t>24C01</t>
  </si>
  <si>
    <t>A0140</t>
  </si>
  <si>
    <t>SSP1117-5.0</t>
  </si>
  <si>
    <t>A0150</t>
  </si>
  <si>
    <t>C277893</t>
  </si>
  <si>
    <t>EPM7160SLC84</t>
  </si>
  <si>
    <t>PLCC84</t>
  </si>
  <si>
    <t>A0146</t>
  </si>
  <si>
    <t>PCF8574A</t>
  </si>
  <si>
    <t>A0141</t>
  </si>
  <si>
    <t>PCF8582E</t>
  </si>
  <si>
    <t>A0106</t>
  </si>
  <si>
    <t>AD7245</t>
  </si>
  <si>
    <t>DIP24S</t>
  </si>
  <si>
    <t>A0044, A0040</t>
  </si>
  <si>
    <t>A0045, A0065</t>
  </si>
  <si>
    <t>LT1085-3.3</t>
  </si>
  <si>
    <t>A0042</t>
  </si>
  <si>
    <t>74LS08</t>
  </si>
  <si>
    <t>A0041</t>
  </si>
  <si>
    <t>INTEL</t>
  </si>
  <si>
    <t>87C51</t>
  </si>
  <si>
    <t>A0026</t>
  </si>
  <si>
    <t>CYPRESS</t>
  </si>
  <si>
    <t>CY62256-70</t>
  </si>
  <si>
    <t>A0027</t>
  </si>
  <si>
    <t>74LS02</t>
  </si>
  <si>
    <t>A0028</t>
  </si>
  <si>
    <t>LF356</t>
  </si>
  <si>
    <t>A0039</t>
  </si>
  <si>
    <t>74F00</t>
  </si>
  <si>
    <t>A0110</t>
  </si>
  <si>
    <t>MOC3020</t>
  </si>
  <si>
    <t>A0104</t>
  </si>
  <si>
    <t>SA555</t>
  </si>
  <si>
    <t>A0029</t>
  </si>
  <si>
    <t>TL061</t>
  </si>
  <si>
    <t>A0043</t>
  </si>
  <si>
    <t>SN75158</t>
  </si>
  <si>
    <t>A0031</t>
  </si>
  <si>
    <t>TDA7052</t>
  </si>
  <si>
    <t>A0056</t>
  </si>
  <si>
    <t>74LS390</t>
  </si>
  <si>
    <t>A0033</t>
  </si>
  <si>
    <t>74LS244</t>
  </si>
  <si>
    <t>A0034</t>
  </si>
  <si>
    <t>74LS374</t>
  </si>
  <si>
    <t>A0048</t>
  </si>
  <si>
    <t>LF347</t>
  </si>
  <si>
    <t>A0057</t>
  </si>
  <si>
    <t>RCA</t>
  </si>
  <si>
    <t>CA3140</t>
  </si>
  <si>
    <t>A0047</t>
  </si>
  <si>
    <t>LF411</t>
  </si>
  <si>
    <t>A0037, A0049</t>
  </si>
  <si>
    <t>A0035</t>
  </si>
  <si>
    <t>DG444</t>
  </si>
  <si>
    <t>A0032, A0054</t>
  </si>
  <si>
    <t>A0060</t>
  </si>
  <si>
    <t>A0063</t>
  </si>
  <si>
    <t>74LS245</t>
  </si>
  <si>
    <t>A0062</t>
  </si>
  <si>
    <t>74LS04</t>
  </si>
  <si>
    <t>A0055</t>
  </si>
  <si>
    <t>DG528</t>
  </si>
  <si>
    <t>A0052</t>
  </si>
  <si>
    <t>LT1083C</t>
  </si>
  <si>
    <t>A0006</t>
  </si>
  <si>
    <t>MC7812</t>
  </si>
  <si>
    <t>A0005, A0021, A0007, A0023, A0020, A0019, A0017, A0018, A0015, A0014, A0013, A0022</t>
  </si>
  <si>
    <t>LT1584-3.3</t>
  </si>
  <si>
    <t>A0008</t>
  </si>
  <si>
    <t>MC7808</t>
  </si>
  <si>
    <t>A0011</t>
  </si>
  <si>
    <t>SHARP</t>
  </si>
  <si>
    <t>IS474</t>
  </si>
  <si>
    <t>A0010</t>
  </si>
  <si>
    <t>DIGIKEY</t>
  </si>
  <si>
    <t>425-1179-5-ND</t>
  </si>
  <si>
    <t>LT1084</t>
  </si>
  <si>
    <t>A0004</t>
  </si>
  <si>
    <t>A0009</t>
  </si>
  <si>
    <t>TO99</t>
  </si>
  <si>
    <t>A0073</t>
  </si>
  <si>
    <t>MC7908</t>
  </si>
  <si>
    <t>A0024</t>
  </si>
  <si>
    <t>SO127P600X500-8</t>
  </si>
  <si>
    <t>AT25256</t>
  </si>
  <si>
    <t>A0078</t>
  </si>
  <si>
    <t>SO65P640X300-8</t>
  </si>
  <si>
    <t>TL7700</t>
  </si>
  <si>
    <t>A0079, A0162</t>
  </si>
  <si>
    <t>ICL7660</t>
  </si>
  <si>
    <t>A0109</t>
  </si>
  <si>
    <t>HARRIS</t>
  </si>
  <si>
    <t>A0098</t>
  </si>
  <si>
    <t>A0100</t>
  </si>
  <si>
    <t>78L05</t>
  </si>
  <si>
    <t>A0099</t>
  </si>
  <si>
    <t>74LVX14MTR</t>
  </si>
  <si>
    <t>A0169</t>
  </si>
  <si>
    <t>NATIONAL SEMI</t>
  </si>
  <si>
    <t>DAC0808</t>
  </si>
  <si>
    <t>A0138</t>
  </si>
  <si>
    <t>CD4029</t>
  </si>
  <si>
    <t>A0249</t>
  </si>
  <si>
    <t>CD4028</t>
  </si>
  <si>
    <t>A0201</t>
  </si>
  <si>
    <t>74LS247</t>
  </si>
  <si>
    <t>A0128</t>
  </si>
  <si>
    <t>LF412CP</t>
  </si>
  <si>
    <t>A0252</t>
  </si>
  <si>
    <t>X28C256</t>
  </si>
  <si>
    <t>A0233</t>
  </si>
  <si>
    <t>CD4543</t>
  </si>
  <si>
    <t>A0119</t>
  </si>
  <si>
    <t>A0231</t>
  </si>
  <si>
    <t>SN74LS247N</t>
  </si>
  <si>
    <t>A0212, A0216</t>
  </si>
  <si>
    <t>CD4017</t>
  </si>
  <si>
    <t>A0205</t>
  </si>
  <si>
    <t>CD4067</t>
  </si>
  <si>
    <t>DIP24</t>
  </si>
  <si>
    <t>A0223</t>
  </si>
  <si>
    <t>LM385-1.2</t>
  </si>
  <si>
    <t>A0242</t>
  </si>
  <si>
    <t>M24C32</t>
  </si>
  <si>
    <t>A0181</t>
  </si>
  <si>
    <t>M24C02</t>
  </si>
  <si>
    <t>A0178</t>
  </si>
  <si>
    <t>A0166</t>
  </si>
  <si>
    <t>PCA9534</t>
  </si>
  <si>
    <t>A0171</t>
  </si>
  <si>
    <t>REF102AU/2K5</t>
  </si>
  <si>
    <t>A0188</t>
  </si>
  <si>
    <t>296-41381-1-ND</t>
  </si>
  <si>
    <t>A0619</t>
  </si>
  <si>
    <t>L7912</t>
  </si>
  <si>
    <t>A0586</t>
  </si>
  <si>
    <t>JRC</t>
  </si>
  <si>
    <t>7812C</t>
  </si>
  <si>
    <t>ISO220</t>
  </si>
  <si>
    <t>A0616</t>
  </si>
  <si>
    <t>A0613</t>
  </si>
  <si>
    <t>LM7815</t>
  </si>
  <si>
    <t>A0579</t>
  </si>
  <si>
    <t>MC79M05</t>
  </si>
  <si>
    <t>A0572</t>
  </si>
  <si>
    <t>LM7806</t>
  </si>
  <si>
    <t>A0608</t>
  </si>
  <si>
    <t>MC7805</t>
  </si>
  <si>
    <t>A0578</t>
  </si>
  <si>
    <t>LM78M12</t>
  </si>
  <si>
    <t>A0610</t>
  </si>
  <si>
    <t>LM2940-5</t>
  </si>
  <si>
    <t>A0609</t>
  </si>
  <si>
    <t>78M08</t>
  </si>
  <si>
    <t>A0618</t>
  </si>
  <si>
    <t>A0617</t>
  </si>
  <si>
    <t>LM340T5</t>
  </si>
  <si>
    <t>A0615</t>
  </si>
  <si>
    <t>MAX727</t>
  </si>
  <si>
    <t>A0621</t>
  </si>
  <si>
    <t>MAX660</t>
  </si>
  <si>
    <t>A0601</t>
  </si>
  <si>
    <t>A0583</t>
  </si>
  <si>
    <t>A0598</t>
  </si>
  <si>
    <t>MOC3010</t>
  </si>
  <si>
    <t>A0589</t>
  </si>
  <si>
    <t>ASAHI KASEI</t>
  </si>
  <si>
    <t>AK9201</t>
  </si>
  <si>
    <t>A0576</t>
  </si>
  <si>
    <t>LM723</t>
  </si>
  <si>
    <t>A0599</t>
  </si>
  <si>
    <t>TDA8924</t>
  </si>
  <si>
    <t>POWERSO24</t>
  </si>
  <si>
    <t>A0602</t>
  </si>
  <si>
    <t>LM2925T</t>
  </si>
  <si>
    <t>A0595</t>
  </si>
  <si>
    <t>MC7915</t>
  </si>
  <si>
    <t>A0605</t>
  </si>
  <si>
    <t>TMS99C14</t>
  </si>
  <si>
    <t>A0372</t>
  </si>
  <si>
    <t>EPM7256AQC208</t>
  </si>
  <si>
    <t>TQFP208</t>
  </si>
  <si>
    <t>A0371</t>
  </si>
  <si>
    <t>APEX</t>
  </si>
  <si>
    <t>PA19</t>
  </si>
  <si>
    <t>TO3-8</t>
  </si>
  <si>
    <t>A0377</t>
  </si>
  <si>
    <t>ELH0021CK</t>
  </si>
  <si>
    <t>A0375</t>
  </si>
  <si>
    <t>A0376</t>
  </si>
  <si>
    <t>LH0021</t>
  </si>
  <si>
    <t>A0378</t>
  </si>
  <si>
    <t>MC74HC04</t>
  </si>
  <si>
    <t>A0331</t>
  </si>
  <si>
    <t>SN74HC86</t>
  </si>
  <si>
    <t>A0329</t>
  </si>
  <si>
    <t>SN74HC00</t>
  </si>
  <si>
    <t>A0332</t>
  </si>
  <si>
    <t>SN74HC21</t>
  </si>
  <si>
    <t>A0316</t>
  </si>
  <si>
    <t>MC14051</t>
  </si>
  <si>
    <t>A0215</t>
  </si>
  <si>
    <t>39SF020</t>
  </si>
  <si>
    <t>PLCC3</t>
  </si>
  <si>
    <t>A0365</t>
  </si>
  <si>
    <t>LM311P</t>
  </si>
  <si>
    <t>A0320</t>
  </si>
  <si>
    <t>A0323</t>
  </si>
  <si>
    <t>PENTAWATT</t>
  </si>
  <si>
    <t>A0368</t>
  </si>
  <si>
    <t>L4931CZ33-AP</t>
  </si>
  <si>
    <t>A0382</t>
  </si>
  <si>
    <t>74LVCX4245</t>
  </si>
  <si>
    <t>SO24W</t>
  </si>
  <si>
    <t>A0364</t>
  </si>
  <si>
    <t>A0325</t>
  </si>
  <si>
    <t>CD74HC393</t>
  </si>
  <si>
    <t>A0312</t>
  </si>
  <si>
    <t>AP1C3T144C8</t>
  </si>
  <si>
    <t>TQFP144</t>
  </si>
  <si>
    <t>A0366</t>
  </si>
  <si>
    <t>29LE010</t>
  </si>
  <si>
    <t>PLCC32</t>
  </si>
  <si>
    <t>A0373</t>
  </si>
  <si>
    <t>EPC2C35F484</t>
  </si>
  <si>
    <t>BGA484</t>
  </si>
  <si>
    <t>A0370</t>
  </si>
  <si>
    <t>NE5532</t>
  </si>
  <si>
    <t>SO8W</t>
  </si>
  <si>
    <t>A0367</t>
  </si>
  <si>
    <t>LTC1150CN8</t>
  </si>
  <si>
    <t>A0137</t>
  </si>
  <si>
    <t>TC7650CPD</t>
  </si>
  <si>
    <t>A0133</t>
  </si>
  <si>
    <t>LM4562</t>
  </si>
  <si>
    <t>A0279</t>
  </si>
  <si>
    <t>CD74HC74</t>
  </si>
  <si>
    <t>A0302</t>
  </si>
  <si>
    <t>SN74HC08</t>
  </si>
  <si>
    <t>A0303</t>
  </si>
  <si>
    <t>PCA9555</t>
  </si>
  <si>
    <t>A0273</t>
  </si>
  <si>
    <t>LM73</t>
  </si>
  <si>
    <t>A0267</t>
  </si>
  <si>
    <t>HITACHO</t>
  </si>
  <si>
    <t>SO28W</t>
  </si>
  <si>
    <t>A0261</t>
  </si>
  <si>
    <t>LM1496</t>
  </si>
  <si>
    <t>A0269</t>
  </si>
  <si>
    <t>SN74HC574</t>
  </si>
  <si>
    <t>A0301</t>
  </si>
  <si>
    <t>SN74HC193</t>
  </si>
  <si>
    <t>A0304</t>
  </si>
  <si>
    <t>CD4001</t>
  </si>
  <si>
    <t>A0313</t>
  </si>
  <si>
    <t>LTC1050CN</t>
  </si>
  <si>
    <t>A0295</t>
  </si>
  <si>
    <t>SN74HC11</t>
  </si>
  <si>
    <t>A0314</t>
  </si>
  <si>
    <t>CD4012</t>
  </si>
  <si>
    <t>A0306</t>
  </si>
  <si>
    <t>LT1366</t>
  </si>
  <si>
    <t>A0265</t>
  </si>
  <si>
    <t>SN74HC14</t>
  </si>
  <si>
    <t>A0309</t>
  </si>
  <si>
    <t>LT1004CZ-1.2</t>
  </si>
  <si>
    <t>A0298</t>
  </si>
  <si>
    <t>MICRON</t>
  </si>
  <si>
    <t>MT5C1008</t>
  </si>
  <si>
    <t>SOJ</t>
  </si>
  <si>
    <t>A0271</t>
  </si>
  <si>
    <t>SN74HC02</t>
  </si>
  <si>
    <t>A0289</t>
  </si>
  <si>
    <t>SN74LS20</t>
  </si>
  <si>
    <t>A0307</t>
  </si>
  <si>
    <t>SN74HC32</t>
  </si>
  <si>
    <t>A0308</t>
  </si>
  <si>
    <t>SN74HC139</t>
  </si>
  <si>
    <t>A0315</t>
  </si>
  <si>
    <t>SN74HC138</t>
  </si>
  <si>
    <t>A0305</t>
  </si>
  <si>
    <t>CD4052</t>
  </si>
  <si>
    <t>A0311</t>
  </si>
  <si>
    <t>M74HC573</t>
  </si>
  <si>
    <t>A0310</t>
  </si>
  <si>
    <t>A0264, R582</t>
  </si>
  <si>
    <t>MAX1771EPA</t>
  </si>
  <si>
    <t>A0260</t>
  </si>
  <si>
    <t>KM48C2100</t>
  </si>
  <si>
    <t>A0262</t>
  </si>
  <si>
    <t>ATMEGA2560</t>
  </si>
  <si>
    <t>A0276</t>
  </si>
  <si>
    <t>AM27C2048</t>
  </si>
  <si>
    <t>DIP40UV</t>
  </si>
  <si>
    <t>A0668</t>
  </si>
  <si>
    <t>AT24C16</t>
  </si>
  <si>
    <t>A0634</t>
  </si>
  <si>
    <t>24C16</t>
  </si>
  <si>
    <t>A0641</t>
  </si>
  <si>
    <t>A0653</t>
  </si>
  <si>
    <t>LM337LZ</t>
  </si>
  <si>
    <t>A0667</t>
  </si>
  <si>
    <t>PCA5555</t>
  </si>
  <si>
    <t>R609</t>
  </si>
  <si>
    <t>LF18CDT</t>
  </si>
  <si>
    <t>R610</t>
  </si>
  <si>
    <t>FT232RL</t>
  </si>
  <si>
    <t>R617</t>
  </si>
  <si>
    <t>74AHCT594</t>
  </si>
  <si>
    <t>R621</t>
  </si>
  <si>
    <t>R626</t>
  </si>
  <si>
    <t>24LC128</t>
  </si>
  <si>
    <t>R637</t>
  </si>
  <si>
    <t>QFN</t>
  </si>
  <si>
    <t>R629</t>
  </si>
  <si>
    <t>TEA6425</t>
  </si>
  <si>
    <t>R638</t>
  </si>
  <si>
    <t>FT4232HL</t>
  </si>
  <si>
    <t>TQF</t>
  </si>
  <si>
    <t>R632</t>
  </si>
  <si>
    <t>IL207AT</t>
  </si>
  <si>
    <t>R618</t>
  </si>
  <si>
    <t>AT42QT2160</t>
  </si>
  <si>
    <t>R627</t>
  </si>
  <si>
    <t>AD706</t>
  </si>
  <si>
    <t>R633, R608</t>
  </si>
  <si>
    <t>SPV1040</t>
  </si>
  <si>
    <t>R640</t>
  </si>
  <si>
    <t>ADG409BR</t>
  </si>
  <si>
    <t>R635</t>
  </si>
  <si>
    <t>ACPL247-500</t>
  </si>
  <si>
    <t>R636</t>
  </si>
  <si>
    <t>74V1G08STR</t>
  </si>
  <si>
    <t>R677</t>
  </si>
  <si>
    <t>R681</t>
  </si>
  <si>
    <t>LM4510SD</t>
  </si>
  <si>
    <t>R685</t>
  </si>
  <si>
    <t>ST3222</t>
  </si>
  <si>
    <t>R693</t>
  </si>
  <si>
    <t>CAT24C32WI-6T3</t>
  </si>
  <si>
    <t>R697</t>
  </si>
  <si>
    <t>AD705JR</t>
  </si>
  <si>
    <t>R674</t>
  </si>
  <si>
    <t>SAA1064</t>
  </si>
  <si>
    <t>R698</t>
  </si>
  <si>
    <t>74V283</t>
  </si>
  <si>
    <t>TQFP</t>
  </si>
  <si>
    <t>R702</t>
  </si>
  <si>
    <t>74V1G02STR</t>
  </si>
  <si>
    <t>R675</t>
  </si>
  <si>
    <t>STCF02PNR</t>
  </si>
  <si>
    <t>R691</t>
  </si>
  <si>
    <t>SN74LVC244APWR</t>
  </si>
  <si>
    <t>R695</t>
  </si>
  <si>
    <t>M24128-BRMN6TP</t>
  </si>
  <si>
    <t>R669</t>
  </si>
  <si>
    <t>MM5450YV</t>
  </si>
  <si>
    <t>R703</t>
  </si>
  <si>
    <t>R676</t>
  </si>
  <si>
    <t>MAX4212EUK+TCT</t>
  </si>
  <si>
    <t>R696</t>
  </si>
  <si>
    <t>AD9850</t>
  </si>
  <si>
    <t>R709</t>
  </si>
  <si>
    <t>74LCX00</t>
  </si>
  <si>
    <t>R717</t>
  </si>
  <si>
    <t>M25P80-VMW6</t>
  </si>
  <si>
    <t>R725</t>
  </si>
  <si>
    <t>AT42QT1070</t>
  </si>
  <si>
    <t>R711</t>
  </si>
  <si>
    <t>MAX809LEUR</t>
  </si>
  <si>
    <t>R712</t>
  </si>
  <si>
    <t>GP2S+</t>
  </si>
  <si>
    <t>R715</t>
  </si>
  <si>
    <t>MAX3421</t>
  </si>
  <si>
    <t>R719</t>
  </si>
  <si>
    <t>BU2505FV-E2CT</t>
  </si>
  <si>
    <t>R720</t>
  </si>
  <si>
    <t>FUJITSU</t>
  </si>
  <si>
    <t>MB510PF</t>
  </si>
  <si>
    <t>R721</t>
  </si>
  <si>
    <t>LT1058SW</t>
  </si>
  <si>
    <t>R722</t>
  </si>
  <si>
    <t>AD5680BRJZ-REEL7</t>
  </si>
  <si>
    <t>R723</t>
  </si>
  <si>
    <t>PACSZ1284-02QR</t>
  </si>
  <si>
    <t>R724</t>
  </si>
  <si>
    <t>HONEYWELL</t>
  </si>
  <si>
    <t>HMC5883L</t>
  </si>
  <si>
    <t>R726</t>
  </si>
  <si>
    <t>LM555</t>
  </si>
  <si>
    <t>R588</t>
  </si>
  <si>
    <t>CY62256-55</t>
  </si>
  <si>
    <t>R595</t>
  </si>
  <si>
    <t>ADUM2250</t>
  </si>
  <si>
    <t>R599</t>
  </si>
  <si>
    <t>PR36MF22</t>
  </si>
  <si>
    <t>R585</t>
  </si>
  <si>
    <t>R583</t>
  </si>
  <si>
    <t>LT1085CM-3.3</t>
  </si>
  <si>
    <t>D2PAK</t>
  </si>
  <si>
    <t>R597</t>
  </si>
  <si>
    <t>74LVC4245</t>
  </si>
  <si>
    <t>R578</t>
  </si>
  <si>
    <t>INA196AI</t>
  </si>
  <si>
    <t>SOT</t>
  </si>
  <si>
    <t>R581</t>
  </si>
  <si>
    <t>MX7226</t>
  </si>
  <si>
    <t>R587</t>
  </si>
  <si>
    <t>TUSB3410</t>
  </si>
  <si>
    <t>R580</t>
  </si>
  <si>
    <t>LM4040D20</t>
  </si>
  <si>
    <t>R584</t>
  </si>
  <si>
    <t>MAX1619</t>
  </si>
  <si>
    <t>SSOP</t>
  </si>
  <si>
    <t>R602</t>
  </si>
  <si>
    <t>USB2514B</t>
  </si>
  <si>
    <t>R577</t>
  </si>
  <si>
    <t>ADC121S021</t>
  </si>
  <si>
    <t>R593</t>
  </si>
  <si>
    <t>R607</t>
  </si>
  <si>
    <t>R554</t>
  </si>
  <si>
    <t>MAX496</t>
  </si>
  <si>
    <t>R555</t>
  </si>
  <si>
    <t>R556, R576</t>
  </si>
  <si>
    <t>R557</t>
  </si>
  <si>
    <t>R558</t>
  </si>
  <si>
    <t>R559</t>
  </si>
  <si>
    <t>R560</t>
  </si>
  <si>
    <t>DIP</t>
  </si>
  <si>
    <t>R561</t>
  </si>
  <si>
    <t>CALOGIC</t>
  </si>
  <si>
    <t>CA5010LT</t>
  </si>
  <si>
    <t>R562</t>
  </si>
  <si>
    <t>R563</t>
  </si>
  <si>
    <t>R564</t>
  </si>
  <si>
    <t>ADG409</t>
  </si>
  <si>
    <t>R565</t>
  </si>
  <si>
    <t>MAX509</t>
  </si>
  <si>
    <t>SOW</t>
  </si>
  <si>
    <t>R566</t>
  </si>
  <si>
    <t>74LV00</t>
  </si>
  <si>
    <t>R567</t>
  </si>
  <si>
    <t>R568</t>
  </si>
  <si>
    <t>R569</t>
  </si>
  <si>
    <t>R570</t>
  </si>
  <si>
    <t>R571</t>
  </si>
  <si>
    <t>R572</t>
  </si>
  <si>
    <t>LM386</t>
  </si>
  <si>
    <t>R573</t>
  </si>
  <si>
    <t>PCM2707</t>
  </si>
  <si>
    <t>R575</t>
  </si>
  <si>
    <t>MISC PARTS</t>
  </si>
  <si>
    <t>A0505</t>
  </si>
  <si>
    <t>LF33CDT</t>
  </si>
  <si>
    <t>A0434</t>
  </si>
  <si>
    <t>LM385-BZ-2.5</t>
  </si>
  <si>
    <t>A0454</t>
  </si>
  <si>
    <t>A0468</t>
  </si>
  <si>
    <t>ICL7611</t>
  </si>
  <si>
    <t>A0437</t>
  </si>
  <si>
    <t>HYUNDAI</t>
  </si>
  <si>
    <t>HY62256</t>
  </si>
  <si>
    <t>A0448</t>
  </si>
  <si>
    <t>ROBOTDYNE</t>
  </si>
  <si>
    <t>SAM021</t>
  </si>
  <si>
    <t>A0461</t>
  </si>
  <si>
    <t>M48T35</t>
  </si>
  <si>
    <t>A0498</t>
  </si>
  <si>
    <t>27C256</t>
  </si>
  <si>
    <t>CER28</t>
  </si>
  <si>
    <t>A0483</t>
  </si>
  <si>
    <t>R741</t>
  </si>
  <si>
    <t>SN74HC14DR</t>
  </si>
  <si>
    <t>R768</t>
  </si>
  <si>
    <t>MCP73833-FCI</t>
  </si>
  <si>
    <t>R765</t>
  </si>
  <si>
    <t>PCA9553</t>
  </si>
  <si>
    <t>R759</t>
  </si>
  <si>
    <t>TPS2115ADRBR</t>
  </si>
  <si>
    <t>R748</t>
  </si>
  <si>
    <t>MICRFEL</t>
  </si>
  <si>
    <t>MIC23201</t>
  </si>
  <si>
    <t>R750</t>
  </si>
  <si>
    <t>MCP1501T-20E/CHY</t>
  </si>
  <si>
    <t>R755</t>
  </si>
  <si>
    <t>MCP4725A2T</t>
  </si>
  <si>
    <t>R769</t>
  </si>
  <si>
    <t>74HC14S14-13</t>
  </si>
  <si>
    <t>R794</t>
  </si>
  <si>
    <t>AP1509-50SG-13</t>
  </si>
  <si>
    <t>R795</t>
  </si>
  <si>
    <t>REG-ADJ-SWITCH</t>
  </si>
  <si>
    <t>A0492</t>
  </si>
  <si>
    <t>A0543, A0541</t>
  </si>
  <si>
    <t>TS954</t>
  </si>
  <si>
    <t>A0536</t>
  </si>
  <si>
    <t>TS904</t>
  </si>
  <si>
    <t>A0534</t>
  </si>
  <si>
    <t>TS952</t>
  </si>
  <si>
    <t>A0532</t>
  </si>
  <si>
    <t>TS914</t>
  </si>
  <si>
    <t>A0535</t>
  </si>
  <si>
    <t>TS464</t>
  </si>
  <si>
    <t>A0537</t>
  </si>
  <si>
    <t>TS924</t>
  </si>
  <si>
    <t>A0538</t>
  </si>
  <si>
    <t>TS902</t>
  </si>
  <si>
    <t>A0539</t>
  </si>
  <si>
    <t>A0518</t>
  </si>
  <si>
    <t>A0512</t>
  </si>
  <si>
    <t>NE5539</t>
  </si>
  <si>
    <t>A0540</t>
  </si>
  <si>
    <t>CD74AC541</t>
  </si>
  <si>
    <t>A0542</t>
  </si>
  <si>
    <t>TS974</t>
  </si>
  <si>
    <t>A0533</t>
  </si>
  <si>
    <t>A0529</t>
  </si>
  <si>
    <t>LM614</t>
  </si>
  <si>
    <t>A0530</t>
  </si>
  <si>
    <t>LM2931-ADJ</t>
  </si>
  <si>
    <t>A0470</t>
  </si>
  <si>
    <t>LM336Z-2.5</t>
  </si>
  <si>
    <t>A0433</t>
  </si>
  <si>
    <t>LM336Z-5.0</t>
  </si>
  <si>
    <t>A0494</t>
  </si>
  <si>
    <t>LM334</t>
  </si>
  <si>
    <t>A0450</t>
  </si>
  <si>
    <t>LF351</t>
  </si>
  <si>
    <t>A0474</t>
  </si>
  <si>
    <t>CA3130</t>
  </si>
  <si>
    <t>A0460</t>
  </si>
  <si>
    <t>A0489</t>
  </si>
  <si>
    <t>NE555P</t>
  </si>
  <si>
    <t>A0496</t>
  </si>
  <si>
    <t>A0482</t>
  </si>
  <si>
    <t>A0525</t>
  </si>
  <si>
    <t>A0531</t>
  </si>
  <si>
    <t>UBLOX</t>
  </si>
  <si>
    <t>NEO-6M-0-001</t>
  </si>
  <si>
    <t>MODULE BOARD UART</t>
  </si>
  <si>
    <t>A0401</t>
  </si>
  <si>
    <t>MODULE-BOARD SMALL UART PPS</t>
  </si>
  <si>
    <t>MODULE BOARD UART PPS</t>
  </si>
  <si>
    <t>LTQW COULOMB COUNTER</t>
  </si>
  <si>
    <t>A0402</t>
  </si>
  <si>
    <t>ESP-M2-E</t>
  </si>
  <si>
    <t>BOSCH</t>
  </si>
  <si>
    <t>BME280</t>
  </si>
  <si>
    <t>GY-21P</t>
  </si>
  <si>
    <t>WT51822</t>
  </si>
  <si>
    <t>APDS-9960</t>
  </si>
  <si>
    <t>NEOWAY</t>
  </si>
  <si>
    <t>M590E</t>
  </si>
  <si>
    <t>INA219</t>
  </si>
  <si>
    <t>WEMOS</t>
  </si>
  <si>
    <t>D1 MINI</t>
  </si>
  <si>
    <t>A0405</t>
  </si>
  <si>
    <t>ESP8266 MOD AI-THINKER</t>
  </si>
  <si>
    <t>ESP-12S</t>
  </si>
  <si>
    <t>ESP-12E</t>
  </si>
  <si>
    <t>LP2992-1.8</t>
  </si>
  <si>
    <t>A0407</t>
  </si>
  <si>
    <t>C8051F022</t>
  </si>
  <si>
    <t>A0409</t>
  </si>
  <si>
    <t>CY7C187</t>
  </si>
  <si>
    <t>A0419</t>
  </si>
  <si>
    <t>SSP1117-3.3</t>
  </si>
  <si>
    <t>A0421</t>
  </si>
  <si>
    <t>AI-THINKER A7 GPS GPRS</t>
  </si>
  <si>
    <t>A0392</t>
  </si>
  <si>
    <t>WISOL</t>
  </si>
  <si>
    <t>SFM10R2</t>
  </si>
  <si>
    <t>A0393</t>
  </si>
  <si>
    <t>ESP-WROOM32</t>
  </si>
  <si>
    <t>A0394</t>
  </si>
  <si>
    <t>A0410</t>
  </si>
  <si>
    <t>A0403</t>
  </si>
  <si>
    <t>LMC6062</t>
  </si>
  <si>
    <t>A0554</t>
  </si>
  <si>
    <t>LM2904</t>
  </si>
  <si>
    <t>A0548</t>
  </si>
  <si>
    <t>A0547</t>
  </si>
  <si>
    <t>A0569</t>
  </si>
  <si>
    <t>A0557</t>
  </si>
  <si>
    <t>SEEQ</t>
  </si>
  <si>
    <t>DQ2817A</t>
  </si>
  <si>
    <t>A0551</t>
  </si>
  <si>
    <t>TC55257</t>
  </si>
  <si>
    <t>A0550</t>
  </si>
  <si>
    <t>74HCTLS01</t>
  </si>
  <si>
    <t>A0549</t>
  </si>
  <si>
    <t>LM4041C12</t>
  </si>
  <si>
    <t>A0567</t>
  </si>
  <si>
    <t>PIC16F15355</t>
  </si>
  <si>
    <t>A0568</t>
  </si>
  <si>
    <t>PIC16F1717</t>
  </si>
  <si>
    <t>A0552</t>
  </si>
  <si>
    <t>LM285Z-1.2</t>
  </si>
  <si>
    <t>A0544</t>
  </si>
  <si>
    <t>PIC16F1513</t>
  </si>
  <si>
    <t>A0545</t>
  </si>
  <si>
    <t>74HC4094</t>
  </si>
  <si>
    <t>A0546</t>
  </si>
  <si>
    <t>LM334Z LT65-5201</t>
  </si>
  <si>
    <t>A0555</t>
  </si>
  <si>
    <t>TQFP100</t>
  </si>
  <si>
    <t>A0781, A0782</t>
  </si>
  <si>
    <t>ABLIC</t>
  </si>
  <si>
    <t>S89230</t>
  </si>
  <si>
    <t>A0792</t>
  </si>
  <si>
    <t>D4364</t>
  </si>
  <si>
    <t>A0795</t>
  </si>
  <si>
    <t>74HCT139</t>
  </si>
  <si>
    <t>A0796</t>
  </si>
  <si>
    <t>KEITHLEY</t>
  </si>
  <si>
    <t>AD536</t>
  </si>
  <si>
    <t>A0799</t>
  </si>
  <si>
    <t>AD542</t>
  </si>
  <si>
    <t>ICL8052</t>
  </si>
  <si>
    <t>ICL71C03</t>
  </si>
  <si>
    <t>LM320T-12</t>
  </si>
  <si>
    <t>A0803, A0811</t>
  </si>
  <si>
    <t>TL780-05</t>
  </si>
  <si>
    <t>A0804</t>
  </si>
  <si>
    <t>X17256</t>
  </si>
  <si>
    <t>A0805</t>
  </si>
  <si>
    <t>87C51RC24</t>
  </si>
  <si>
    <t>A0806</t>
  </si>
  <si>
    <t>LM399</t>
  </si>
  <si>
    <t>A0807</t>
  </si>
  <si>
    <t>TXB0106</t>
  </si>
  <si>
    <t>A0826</t>
  </si>
  <si>
    <t>SMNR6028-220MT</t>
  </si>
  <si>
    <t>A0148</t>
  </si>
  <si>
    <t>RFS1317-104KL</t>
  </si>
  <si>
    <t>2.65A</t>
  </si>
  <si>
    <t>100uH</t>
  </si>
  <si>
    <t>A0282</t>
  </si>
  <si>
    <t>TSL1112RA-330K2R3-PF</t>
  </si>
  <si>
    <t>2.3A</t>
  </si>
  <si>
    <t>33uH</t>
  </si>
  <si>
    <t>VLCF4028T-4R7N1R5</t>
  </si>
  <si>
    <t>1.57</t>
  </si>
  <si>
    <t>R628</t>
  </si>
  <si>
    <t>R634</t>
  </si>
  <si>
    <t>LQH5BPN1R5NT0L</t>
  </si>
  <si>
    <t>R781</t>
  </si>
  <si>
    <t>BAO CHENG</t>
  </si>
  <si>
    <t>BCNR6045-470M</t>
  </si>
  <si>
    <t>1.2A</t>
  </si>
  <si>
    <t>47uH</t>
  </si>
  <si>
    <t>C238005</t>
  </si>
  <si>
    <t>A0417</t>
  </si>
  <si>
    <t>SXN</t>
  </si>
  <si>
    <t>SMNR5028-470MT</t>
  </si>
  <si>
    <t>1.15A</t>
  </si>
  <si>
    <t>C266432</t>
  </si>
  <si>
    <t>A0424</t>
  </si>
  <si>
    <t>Color</t>
  </si>
  <si>
    <t>LITEON</t>
  </si>
  <si>
    <t>LTL907HK-TA</t>
  </si>
  <si>
    <t>RED/GREEN</t>
  </si>
  <si>
    <t>R4, R5, R6, R6, R7, R8</t>
  </si>
  <si>
    <t>DIODE-LED-WHITE-KA</t>
  </si>
  <si>
    <t>CREE</t>
  </si>
  <si>
    <t>JB2835 3-V</t>
  </si>
  <si>
    <t>2835</t>
  </si>
  <si>
    <t>WHITE</t>
  </si>
  <si>
    <t>R137</t>
  </si>
  <si>
    <t>DIODE-LED-GREEN-KA</t>
  </si>
  <si>
    <t>PLCC2</t>
  </si>
  <si>
    <t>GREEN</t>
  </si>
  <si>
    <t>R289</t>
  </si>
  <si>
    <t>DIODE-LED-YELLOW-KA</t>
  </si>
  <si>
    <t>YELLOW</t>
  </si>
  <si>
    <t>R290, R291, R292</t>
  </si>
  <si>
    <t>DIODE-LED-RED-KA</t>
  </si>
  <si>
    <t>RED</t>
  </si>
  <si>
    <t>R293, R294, R295, R296, R299, R300</t>
  </si>
  <si>
    <t>RED HI-EFF</t>
  </si>
  <si>
    <t>R297, R298, R304</t>
  </si>
  <si>
    <t>DIODE-LED-BLUE-KA</t>
  </si>
  <si>
    <t>BLUE CLEAR</t>
  </si>
  <si>
    <t>TH3MM</t>
  </si>
  <si>
    <t>MARS1</t>
  </si>
  <si>
    <t>GREEN CLEAR</t>
  </si>
  <si>
    <t>MARS2</t>
  </si>
  <si>
    <t>RED CLEAR</t>
  </si>
  <si>
    <t>MARS3</t>
  </si>
  <si>
    <t>WHITE CLEAR</t>
  </si>
  <si>
    <t>MARS4</t>
  </si>
  <si>
    <t>MARS5</t>
  </si>
  <si>
    <t>TH5MM</t>
  </si>
  <si>
    <t>MARS6</t>
  </si>
  <si>
    <t>MARS7</t>
  </si>
  <si>
    <t>MARS8</t>
  </si>
  <si>
    <t>DIODE-LED-ORANGE-KA</t>
  </si>
  <si>
    <t>ORANGE CLEAR</t>
  </si>
  <si>
    <t>MARS9</t>
  </si>
  <si>
    <t>MARS10</t>
  </si>
  <si>
    <t>MARS11</t>
  </si>
  <si>
    <t>MARS12</t>
  </si>
  <si>
    <t>DIODE-LED-UV-KA</t>
  </si>
  <si>
    <t>UV CLEAR</t>
  </si>
  <si>
    <t>MARS13</t>
  </si>
  <si>
    <t>MARS14</t>
  </si>
  <si>
    <t>RGB CLEAR</t>
  </si>
  <si>
    <t>MARS15</t>
  </si>
  <si>
    <t>MARS16A</t>
  </si>
  <si>
    <t>MARS16B</t>
  </si>
  <si>
    <t>MARS17A</t>
  </si>
  <si>
    <t>MARS17B</t>
  </si>
  <si>
    <t>MARS18A</t>
  </si>
  <si>
    <t>MARS18B</t>
  </si>
  <si>
    <t>DIODE-LED-PIRANA-WHITE</t>
  </si>
  <si>
    <t>PIRANA</t>
  </si>
  <si>
    <t>MARS19</t>
  </si>
  <si>
    <t>CHICAGO MINI</t>
  </si>
  <si>
    <t>7002X5</t>
  </si>
  <si>
    <t>R430, R431, R432</t>
  </si>
  <si>
    <t>FC-DA1608BHRK-620D</t>
  </si>
  <si>
    <t>A0147</t>
  </si>
  <si>
    <t>QSD123-ND</t>
  </si>
  <si>
    <t>A0154</t>
  </si>
  <si>
    <t>HQ15-2202BYGC</t>
  </si>
  <si>
    <t>BLUE/YELLOW/GREEN</t>
  </si>
  <si>
    <t>A0175</t>
  </si>
  <si>
    <t>QED123-ND</t>
  </si>
  <si>
    <t>A0172</t>
  </si>
  <si>
    <t>WENRUN</t>
  </si>
  <si>
    <t>LTD056BUE-103A</t>
  </si>
  <si>
    <t>7SEG 3CA MUX</t>
  </si>
  <si>
    <t>TME</t>
  </si>
  <si>
    <t>A0226, A0245, A0229, A0190, A0244</t>
  </si>
  <si>
    <t>LN5643R-11</t>
  </si>
  <si>
    <t>2125229</t>
  </si>
  <si>
    <t>A0238, A0195, A0243, A0218, A0219</t>
  </si>
  <si>
    <t>NEWHAVEN</t>
  </si>
  <si>
    <t>NHD-C12832A1Z-NSW-BBW-3V3</t>
  </si>
  <si>
    <t>A0160</t>
  </si>
  <si>
    <t>ORH-B36G</t>
  </si>
  <si>
    <t>A0170</t>
  </si>
  <si>
    <t>NHD-C0216CIZ-FSW-FBW-3V3</t>
  </si>
  <si>
    <t>A0577</t>
  </si>
  <si>
    <t>A0374</t>
  </si>
  <si>
    <t>LTL911TGKS</t>
  </si>
  <si>
    <t>A0363</t>
  </si>
  <si>
    <t>LTD-6930HR</t>
  </si>
  <si>
    <t>A0283,  A0284</t>
  </si>
  <si>
    <t>NOKIA5110</t>
  </si>
  <si>
    <t>A0647</t>
  </si>
  <si>
    <t>CLA1B-WKW-XD0F0E13</t>
  </si>
  <si>
    <t>R613</t>
  </si>
  <si>
    <t>2510SR1</t>
  </si>
  <si>
    <t>A0672, A0673</t>
  </si>
  <si>
    <t>SUNLED</t>
  </si>
  <si>
    <t>XZMDKCBDDG45S-9</t>
  </si>
  <si>
    <t>R704</t>
  </si>
  <si>
    <t>LED YELLOW 0603</t>
  </si>
  <si>
    <t>R700</t>
  </si>
  <si>
    <t>A0465</t>
  </si>
  <si>
    <t>150141RB73100</t>
  </si>
  <si>
    <t>PLCC4</t>
  </si>
  <si>
    <t>RED/BLUE</t>
  </si>
  <si>
    <t>R754</t>
  </si>
  <si>
    <t>ORIENT</t>
  </si>
  <si>
    <t>ORH-R36A</t>
  </si>
  <si>
    <t>ORANGE RED</t>
  </si>
  <si>
    <t>R766</t>
  </si>
  <si>
    <t>NCD0603Y1</t>
  </si>
  <si>
    <t>R782</t>
  </si>
  <si>
    <t>ORH-W46G</t>
  </si>
  <si>
    <t>R773</t>
  </si>
  <si>
    <t>NCD0603O1</t>
  </si>
  <si>
    <t>ORANGE</t>
  </si>
  <si>
    <t>R786</t>
  </si>
  <si>
    <t>BLUE</t>
  </si>
  <si>
    <t>R792</t>
  </si>
  <si>
    <t>ORH-YG36A</t>
  </si>
  <si>
    <t>YELLOW-GREEN</t>
  </si>
  <si>
    <t>A0418</t>
  </si>
  <si>
    <t>A0412</t>
  </si>
  <si>
    <t>MODULE I2C</t>
  </si>
  <si>
    <t>A0398, A0399</t>
  </si>
  <si>
    <t>BROADCOM</t>
  </si>
  <si>
    <t>HCNR200</t>
  </si>
  <si>
    <t>A0422</t>
  </si>
  <si>
    <t>LN363GCP</t>
  </si>
  <si>
    <t>A0794</t>
  </si>
  <si>
    <t>LTL4233</t>
  </si>
  <si>
    <t>A0845</t>
  </si>
  <si>
    <t>HLMP-1719</t>
  </si>
  <si>
    <t>A0846, A0847</t>
  </si>
  <si>
    <t>Switchtype</t>
  </si>
  <si>
    <t>CLAMP, WELLER AIRHOSE, LARGE</t>
  </si>
  <si>
    <t>A0727</t>
  </si>
  <si>
    <t>CLAMP, WELLER AIRHOSE, SMALL</t>
  </si>
  <si>
    <t>A0730</t>
  </si>
  <si>
    <t>SI2333CDS-T1-GE3</t>
  </si>
  <si>
    <t>7.1A</t>
  </si>
  <si>
    <t>R34</t>
  </si>
  <si>
    <t>BSS84</t>
  </si>
  <si>
    <t>0.13A</t>
  </si>
  <si>
    <t>R136</t>
  </si>
  <si>
    <t>INFINEON</t>
  </si>
  <si>
    <t>IRLML6401</t>
  </si>
  <si>
    <t>4.3A</t>
  </si>
  <si>
    <t>R216</t>
  </si>
  <si>
    <t>2N7002</t>
  </si>
  <si>
    <t>R212, R357, R358, R359, 360</t>
  </si>
  <si>
    <t>IRLML6402</t>
  </si>
  <si>
    <t>3.7A</t>
  </si>
  <si>
    <t>20V</t>
  </si>
  <si>
    <t>R211</t>
  </si>
  <si>
    <t>2 N-CH</t>
  </si>
  <si>
    <t>IRF7303</t>
  </si>
  <si>
    <t>4.9A</t>
  </si>
  <si>
    <t>R248, R234</t>
  </si>
  <si>
    <t>IRFZ24N</t>
  </si>
  <si>
    <t>17A</t>
  </si>
  <si>
    <t>55V</t>
  </si>
  <si>
    <t>BUZ11</t>
  </si>
  <si>
    <t>30A</t>
  </si>
  <si>
    <t>R382</t>
  </si>
  <si>
    <t>STL50NH3</t>
  </si>
  <si>
    <t>POWERFLAT</t>
  </si>
  <si>
    <t>27A</t>
  </si>
  <si>
    <t>R612</t>
  </si>
  <si>
    <t>NDT2955</t>
  </si>
  <si>
    <t>2.5A</t>
  </si>
  <si>
    <t>R619</t>
  </si>
  <si>
    <t>STS10PF30L</t>
  </si>
  <si>
    <t>R679</t>
  </si>
  <si>
    <t>STD85N3L</t>
  </si>
  <si>
    <t>80A</t>
  </si>
  <si>
    <t>R708</t>
  </si>
  <si>
    <t>STD50N03</t>
  </si>
  <si>
    <t>40A</t>
  </si>
  <si>
    <t>R710</t>
  </si>
  <si>
    <t>STL55NH3LL</t>
  </si>
  <si>
    <t>PPAK5060</t>
  </si>
  <si>
    <t>55A</t>
  </si>
  <si>
    <t>R604</t>
  </si>
  <si>
    <t>STS12NF30L</t>
  </si>
  <si>
    <t>12A</t>
  </si>
  <si>
    <t>R589</t>
  </si>
  <si>
    <t>STF40NF06</t>
  </si>
  <si>
    <t>A0435</t>
  </si>
  <si>
    <t>BS170</t>
  </si>
  <si>
    <t>A0678</t>
  </si>
  <si>
    <t>BSS138</t>
  </si>
  <si>
    <t>R749</t>
  </si>
  <si>
    <t>SI2333DS-T1-E3</t>
  </si>
  <si>
    <t>R762</t>
  </si>
  <si>
    <t>SBSS84LT1G</t>
  </si>
  <si>
    <t>R775</t>
  </si>
  <si>
    <t>2N7002-TP</t>
  </si>
  <si>
    <t>R800</t>
  </si>
  <si>
    <t>A0411</t>
  </si>
  <si>
    <t>NAIS</t>
  </si>
  <si>
    <t>DS2Y-SL2-DC12V</t>
  </si>
  <si>
    <t>A0003</t>
  </si>
  <si>
    <t>OMRON</t>
  </si>
  <si>
    <t>G6K-2F 12V</t>
  </si>
  <si>
    <t>A0001, A0046, A0016</t>
  </si>
  <si>
    <t>TAKAMISAWA</t>
  </si>
  <si>
    <t>MZ-12HG-C</t>
  </si>
  <si>
    <t>A0030</t>
  </si>
  <si>
    <t>TQ2-5V</t>
  </si>
  <si>
    <t>A0038</t>
  </si>
  <si>
    <t>S201S06V</t>
  </si>
  <si>
    <t>A0051</t>
  </si>
  <si>
    <t>S202T02</t>
  </si>
  <si>
    <t>A0066</t>
  </si>
  <si>
    <t>MAGNECRAFT</t>
  </si>
  <si>
    <t>W172DIP-35</t>
  </si>
  <si>
    <t>A0059, A0050</t>
  </si>
  <si>
    <t>HONGFA</t>
  </si>
  <si>
    <t>HF41F 5-ZST</t>
  </si>
  <si>
    <t>A007, A0071, A0072</t>
  </si>
  <si>
    <t>TQ2SA-5V</t>
  </si>
  <si>
    <t>A0168</t>
  </si>
  <si>
    <t>AXICOM</t>
  </si>
  <si>
    <t>MT2C93432</t>
  </si>
  <si>
    <t>A0603</t>
  </si>
  <si>
    <t>TE</t>
  </si>
  <si>
    <t>6-1462000-2</t>
  </si>
  <si>
    <t>W76URCPCX-16</t>
  </si>
  <si>
    <t>A0632</t>
  </si>
  <si>
    <t>ZETTLER</t>
  </si>
  <si>
    <t>AZ9571-1C-12DSE</t>
  </si>
  <si>
    <t>A0277</t>
  </si>
  <si>
    <t>COTO</t>
  </si>
  <si>
    <t>9007-05-00</t>
  </si>
  <si>
    <t>A0291</t>
  </si>
  <si>
    <t>SONG CHUAN</t>
  </si>
  <si>
    <t>882-1AH-C 24VDC</t>
  </si>
  <si>
    <t>A0649</t>
  </si>
  <si>
    <t>G3MB-202P</t>
  </si>
  <si>
    <t>A0528</t>
  </si>
  <si>
    <t>ALQ3F12</t>
  </si>
  <si>
    <t>A0504</t>
  </si>
  <si>
    <t>255-5407-ND</t>
  </si>
  <si>
    <t>A5W-8</t>
  </si>
  <si>
    <t>A0426</t>
  </si>
  <si>
    <t>W171DIP-70</t>
  </si>
  <si>
    <t>A0711</t>
  </si>
  <si>
    <t>W172DIP-5</t>
  </si>
  <si>
    <t>RELAY, OPTOMOS, NC, SMT</t>
  </si>
  <si>
    <t>AQY414</t>
  </si>
  <si>
    <t>A0751</t>
  </si>
  <si>
    <t>SOP4</t>
  </si>
  <si>
    <t>AROMAT</t>
  </si>
  <si>
    <t>DS2E-SL2-DC12V</t>
  </si>
  <si>
    <t>A0754, A0777, A0793</t>
  </si>
  <si>
    <t>DS4E-M-DC5V</t>
  </si>
  <si>
    <t>A0755, A0756, A0779</t>
  </si>
  <si>
    <t>882-1AH-C 24V</t>
  </si>
  <si>
    <t>A0757, A0758, A0759, A0760</t>
  </si>
  <si>
    <t>ACTB32</t>
  </si>
  <si>
    <t>A0776</t>
  </si>
  <si>
    <t>DS2YE-S-DC24V</t>
  </si>
  <si>
    <t>A0778, A0788</t>
  </si>
  <si>
    <t>UB2-3NU</t>
  </si>
  <si>
    <t>A0787</t>
  </si>
  <si>
    <t>G2R-24 DC 12V</t>
  </si>
  <si>
    <t>A0800</t>
  </si>
  <si>
    <t>EA2-5TNJ</t>
  </si>
  <si>
    <t>A0798</t>
  </si>
  <si>
    <t>G6A-234P-ST-US 5V</t>
  </si>
  <si>
    <t>A0808, A0810</t>
  </si>
  <si>
    <t>DS2E-S-DC12V</t>
  </si>
  <si>
    <t>A0809</t>
  </si>
  <si>
    <t>Resistance</t>
  </si>
  <si>
    <t>Tolerance</t>
  </si>
  <si>
    <t>RESType</t>
  </si>
  <si>
    <t>Wattage</t>
  </si>
  <si>
    <t>KOA SPEER</t>
  </si>
  <si>
    <t>RK73B1JLTD333J</t>
  </si>
  <si>
    <t>33K</t>
  </si>
  <si>
    <t>5%</t>
  </si>
  <si>
    <t>R128</t>
  </si>
  <si>
    <t>1/10W</t>
  </si>
  <si>
    <t>RESTRIM</t>
  </si>
  <si>
    <t>PIHER</t>
  </si>
  <si>
    <t>PT10LV10-101A2020-PM-S</t>
  </si>
  <si>
    <t>100R</t>
  </si>
  <si>
    <t>MARS21A</t>
  </si>
  <si>
    <t>TRIMMER ST-HOR</t>
  </si>
  <si>
    <t>BOURNS</t>
  </si>
  <si>
    <t>PV36W101C01B00</t>
  </si>
  <si>
    <t>MARS21B</t>
  </si>
  <si>
    <t>TRIMMER MT SQ</t>
  </si>
  <si>
    <t>3006P-1-101LF</t>
  </si>
  <si>
    <t>MARS21C</t>
  </si>
  <si>
    <t>TRIMMER MT RECT</t>
  </si>
  <si>
    <t>PT10LV10-251A2020-S</t>
  </si>
  <si>
    <t>250R</t>
  </si>
  <si>
    <t>MARS22A</t>
  </si>
  <si>
    <t>3299W-1-251LF</t>
  </si>
  <si>
    <t>MARS22B</t>
  </si>
  <si>
    <t>3006P-1-251LF</t>
  </si>
  <si>
    <t>MARS22C</t>
  </si>
  <si>
    <t>PT10LV10-501A2020-S</t>
  </si>
  <si>
    <t>500R</t>
  </si>
  <si>
    <t>MARS23A</t>
  </si>
  <si>
    <t>PV36W501C01B00</t>
  </si>
  <si>
    <t>MARS23B</t>
  </si>
  <si>
    <t>3006P-1-501LF</t>
  </si>
  <si>
    <t>MARS23C</t>
  </si>
  <si>
    <t>PT10LV10-102A2020-S</t>
  </si>
  <si>
    <t>1K</t>
  </si>
  <si>
    <t>MARS24A</t>
  </si>
  <si>
    <t>PV36W102C01B00</t>
  </si>
  <si>
    <t>MARS24B</t>
  </si>
  <si>
    <t>3006P-1-102LF</t>
  </si>
  <si>
    <t>MARS24C</t>
  </si>
  <si>
    <t>PT10LV10-252A2020-PM-S</t>
  </si>
  <si>
    <t>2K5</t>
  </si>
  <si>
    <t>MARS25A</t>
  </si>
  <si>
    <t>3296W-1-252LF</t>
  </si>
  <si>
    <t>MARS25B</t>
  </si>
  <si>
    <t>3006P-1-252LF</t>
  </si>
  <si>
    <t>MARS25C</t>
  </si>
  <si>
    <t>PT10LV10-502A2020-S</t>
  </si>
  <si>
    <t>5K</t>
  </si>
  <si>
    <t>MARS26A</t>
  </si>
  <si>
    <t>PV36W502C01B00</t>
  </si>
  <si>
    <t>MARS26B</t>
  </si>
  <si>
    <t>3006P-1-502LF</t>
  </si>
  <si>
    <t>MARS26C</t>
  </si>
  <si>
    <t>PT10LV10-103A2020-S</t>
  </si>
  <si>
    <t>10K</t>
  </si>
  <si>
    <t>MARS27A</t>
  </si>
  <si>
    <t>PV36W103C01B00</t>
  </si>
  <si>
    <t>MARS27B</t>
  </si>
  <si>
    <t>3006P-1-103LF</t>
  </si>
  <si>
    <t>MARS27C</t>
  </si>
  <si>
    <t>PT10LV10-253A2020-PM-S</t>
  </si>
  <si>
    <t>25K</t>
  </si>
  <si>
    <t>MARS28A</t>
  </si>
  <si>
    <t>3299W-1-253LF</t>
  </si>
  <si>
    <t>MARS28B</t>
  </si>
  <si>
    <t>3006P-1-253LF</t>
  </si>
  <si>
    <t>MARS28C</t>
  </si>
  <si>
    <t>PT10LV10-503A2020-S</t>
  </si>
  <si>
    <t>50K</t>
  </si>
  <si>
    <t>MARS29A</t>
  </si>
  <si>
    <t>PV36W503C01B00</t>
  </si>
  <si>
    <t>MARS29B</t>
  </si>
  <si>
    <t>3006P-1-503LF</t>
  </si>
  <si>
    <t>MARS29C</t>
  </si>
  <si>
    <t>PT10LV10-104A2020-PM-S
PT10MV10-104A2020</t>
  </si>
  <si>
    <t>100K</t>
  </si>
  <si>
    <t>MARS30A</t>
  </si>
  <si>
    <t>PV36W104C01B00
PT10LV10-104A2020-I-PM-S</t>
  </si>
  <si>
    <t>MARS30B</t>
  </si>
  <si>
    <t>3006P-1-104LF</t>
  </si>
  <si>
    <t>MARS30C</t>
  </si>
  <si>
    <t>PT10LV10-254A2020-PM-S
PT10LV10-254A2020-S</t>
  </si>
  <si>
    <t>250K</t>
  </si>
  <si>
    <t>MARS31A</t>
  </si>
  <si>
    <t>3296W-1-254LF</t>
  </si>
  <si>
    <t>MARS31B</t>
  </si>
  <si>
    <t>3006P-1-254LF</t>
  </si>
  <si>
    <t>MARS31C</t>
  </si>
  <si>
    <t>PT10LV10-504A2020-S</t>
  </si>
  <si>
    <t>500K</t>
  </si>
  <si>
    <t>MARS32A</t>
  </si>
  <si>
    <t>PV36W504C01B00</t>
  </si>
  <si>
    <t>MARS32B</t>
  </si>
  <si>
    <t>3006P-1-504LF</t>
  </si>
  <si>
    <t>MARS32C</t>
  </si>
  <si>
    <t>PT10LV10-105A2020-S</t>
  </si>
  <si>
    <t>10MM</t>
  </si>
  <si>
    <t>1M</t>
  </si>
  <si>
    <t>PV36W105C01B00</t>
  </si>
  <si>
    <t>3006P-1-105LF</t>
  </si>
  <si>
    <t>RES0805</t>
  </si>
  <si>
    <t>KOA</t>
  </si>
  <si>
    <t>RK73B2ATTD102J</t>
  </si>
  <si>
    <t>R327</t>
  </si>
  <si>
    <t>RES0603</t>
  </si>
  <si>
    <t>CHIPCERA</t>
  </si>
  <si>
    <t>CR03F7P1500L</t>
  </si>
  <si>
    <t>150R</t>
  </si>
  <si>
    <t>1%</t>
  </si>
  <si>
    <t>R328</t>
  </si>
  <si>
    <t>R325, R326</t>
  </si>
  <si>
    <t>CRCW0603473JRTI</t>
  </si>
  <si>
    <t>47K</t>
  </si>
  <si>
    <t>R329</t>
  </si>
  <si>
    <t>RM73B1JT681J</t>
  </si>
  <si>
    <t>680R</t>
  </si>
  <si>
    <t>R330, R462</t>
  </si>
  <si>
    <t>ERJ3GEYJ181V</t>
  </si>
  <si>
    <t>180R</t>
  </si>
  <si>
    <t>R331</t>
  </si>
  <si>
    <t>NRC06J331TR</t>
  </si>
  <si>
    <t>330R</t>
  </si>
  <si>
    <t>R332</t>
  </si>
  <si>
    <t>CRCW060310K0</t>
  </si>
  <si>
    <t>R334</t>
  </si>
  <si>
    <t>RC0603JR074K7</t>
  </si>
  <si>
    <t>4K7</t>
  </si>
  <si>
    <t>R335</t>
  </si>
  <si>
    <t>RC0603JR-300R</t>
  </si>
  <si>
    <t>300R</t>
  </si>
  <si>
    <t>R336</t>
  </si>
  <si>
    <t>RN73E2AT1003B</t>
  </si>
  <si>
    <t>R364</t>
  </si>
  <si>
    <t>RN73B1JLTD272</t>
  </si>
  <si>
    <t>2K7</t>
  </si>
  <si>
    <t>R362</t>
  </si>
  <si>
    <t>CR-03J-7-220R</t>
  </si>
  <si>
    <t>220R</t>
  </si>
  <si>
    <t>R361</t>
  </si>
  <si>
    <t>RC0805FR-0710KL</t>
  </si>
  <si>
    <t>R459</t>
  </si>
  <si>
    <t>CR10-330J</t>
  </si>
  <si>
    <t>33R</t>
  </si>
  <si>
    <t>R477</t>
  </si>
  <si>
    <t>RK73B1JLTD331J</t>
  </si>
  <si>
    <t>R464</t>
  </si>
  <si>
    <t>RK73B2ALTD331J</t>
  </si>
  <si>
    <t>R460</t>
  </si>
  <si>
    <t>ERJ3EKF1502V</t>
  </si>
  <si>
    <t>15K</t>
  </si>
  <si>
    <t>R461</t>
  </si>
  <si>
    <t>PHYCOMP</t>
  </si>
  <si>
    <t>RC0603FR073K32L</t>
  </si>
  <si>
    <t>3K32</t>
  </si>
  <si>
    <t>R479</t>
  </si>
  <si>
    <t>RM73B1JT103J</t>
  </si>
  <si>
    <t>R476</t>
  </si>
  <si>
    <t>RK73B2ALTD101J</t>
  </si>
  <si>
    <t>R475</t>
  </si>
  <si>
    <t>WA06X103JT</t>
  </si>
  <si>
    <t>10KX4</t>
  </si>
  <si>
    <t>R472, R480</t>
  </si>
  <si>
    <t>WA06X102JT</t>
  </si>
  <si>
    <t>1KX4</t>
  </si>
  <si>
    <t>R478, R474</t>
  </si>
  <si>
    <t>YAGEO</t>
  </si>
  <si>
    <t>RC0603FR-0720KL</t>
  </si>
  <si>
    <t>20K</t>
  </si>
  <si>
    <t>R469</t>
  </si>
  <si>
    <t>RK73B1JLTD103J</t>
  </si>
  <si>
    <t>R423</t>
  </si>
  <si>
    <t>ERJ-6ENF1501V</t>
  </si>
  <si>
    <t>1K5</t>
  </si>
  <si>
    <t>R422</t>
  </si>
  <si>
    <t>CR10-102J-T</t>
  </si>
  <si>
    <t>R426</t>
  </si>
  <si>
    <t>RK73B1JLTD271J</t>
  </si>
  <si>
    <t>270R</t>
  </si>
  <si>
    <t>R427</t>
  </si>
  <si>
    <t>RK73B1JLTD101</t>
  </si>
  <si>
    <t>R424</t>
  </si>
  <si>
    <t>R425</t>
  </si>
  <si>
    <t>TD-OHM</t>
  </si>
  <si>
    <t>CY16-2-222JM</t>
  </si>
  <si>
    <t>2K2</t>
  </si>
  <si>
    <t>R428</t>
  </si>
  <si>
    <t>NRJ06J361TRF</t>
  </si>
  <si>
    <t>360R</t>
  </si>
  <si>
    <t>R417</t>
  </si>
  <si>
    <t>RK73H2ATTD1210F</t>
  </si>
  <si>
    <t>121R</t>
  </si>
  <si>
    <t>R421</t>
  </si>
  <si>
    <t>ARRAY 4 X 10K</t>
  </si>
  <si>
    <t>10K ARRAY</t>
  </si>
  <si>
    <t>R404, R393</t>
  </si>
  <si>
    <t>ARRAY 4 X 4K7</t>
  </si>
  <si>
    <t>4K7 ARRAY</t>
  </si>
  <si>
    <t>R397</t>
  </si>
  <si>
    <t>ARRAY 4 X 47R</t>
  </si>
  <si>
    <t>47R ARRAY</t>
  </si>
  <si>
    <t>R385</t>
  </si>
  <si>
    <t>47R</t>
  </si>
  <si>
    <t>R390</t>
  </si>
  <si>
    <t>3K3</t>
  </si>
  <si>
    <t>R389</t>
  </si>
  <si>
    <t>1K4</t>
  </si>
  <si>
    <t>R400</t>
  </si>
  <si>
    <t>R388</t>
  </si>
  <si>
    <t>10R</t>
  </si>
  <si>
    <t>11R</t>
  </si>
  <si>
    <t>12R</t>
  </si>
  <si>
    <t>13R</t>
  </si>
  <si>
    <t>15R</t>
  </si>
  <si>
    <t>16R</t>
  </si>
  <si>
    <t>18R</t>
  </si>
  <si>
    <t>20R</t>
  </si>
  <si>
    <t>22R</t>
  </si>
  <si>
    <t>24R</t>
  </si>
  <si>
    <t>27R</t>
  </si>
  <si>
    <t>30R</t>
  </si>
  <si>
    <t>36R</t>
  </si>
  <si>
    <t>39R</t>
  </si>
  <si>
    <t>43R</t>
  </si>
  <si>
    <t>51R</t>
  </si>
  <si>
    <t>56R</t>
  </si>
  <si>
    <t>62R</t>
  </si>
  <si>
    <t>68R</t>
  </si>
  <si>
    <t>75R</t>
  </si>
  <si>
    <t>82R</t>
  </si>
  <si>
    <t>91R</t>
  </si>
  <si>
    <t>110R</t>
  </si>
  <si>
    <t>120R</t>
  </si>
  <si>
    <t>130R</t>
  </si>
  <si>
    <t>160R</t>
  </si>
  <si>
    <t>200R</t>
  </si>
  <si>
    <t>240R</t>
  </si>
  <si>
    <t>390R</t>
  </si>
  <si>
    <t>430R</t>
  </si>
  <si>
    <t>470R</t>
  </si>
  <si>
    <t>510R</t>
  </si>
  <si>
    <t>560R</t>
  </si>
  <si>
    <t>620R</t>
  </si>
  <si>
    <t>750R</t>
  </si>
  <si>
    <t>820R</t>
  </si>
  <si>
    <t>910R</t>
  </si>
  <si>
    <t>1K1</t>
  </si>
  <si>
    <t>1K2</t>
  </si>
  <si>
    <t>1K3</t>
  </si>
  <si>
    <t>1K6</t>
  </si>
  <si>
    <t>1K8</t>
  </si>
  <si>
    <t>2K</t>
  </si>
  <si>
    <t>2K4</t>
  </si>
  <si>
    <t>3K</t>
  </si>
  <si>
    <t>3K6</t>
  </si>
  <si>
    <t>3K9</t>
  </si>
  <si>
    <t>4K3</t>
  </si>
  <si>
    <t>5K1</t>
  </si>
  <si>
    <t>5K6</t>
  </si>
  <si>
    <t>6K2</t>
  </si>
  <si>
    <t>6K8</t>
  </si>
  <si>
    <t>7K5</t>
  </si>
  <si>
    <t>8K2</t>
  </si>
  <si>
    <t>9K1</t>
  </si>
  <si>
    <t>11K</t>
  </si>
  <si>
    <t>12K</t>
  </si>
  <si>
    <t>13K</t>
  </si>
  <si>
    <t>16K</t>
  </si>
  <si>
    <t>18K</t>
  </si>
  <si>
    <t>22K</t>
  </si>
  <si>
    <t>24K</t>
  </si>
  <si>
    <t>27K</t>
  </si>
  <si>
    <t>30K</t>
  </si>
  <si>
    <t>36K</t>
  </si>
  <si>
    <t>39K</t>
  </si>
  <si>
    <t>43K</t>
  </si>
  <si>
    <t>51K</t>
  </si>
  <si>
    <t>56K</t>
  </si>
  <si>
    <t>62K</t>
  </si>
  <si>
    <t>68K</t>
  </si>
  <si>
    <t>75K</t>
  </si>
  <si>
    <t>82K</t>
  </si>
  <si>
    <t>91K</t>
  </si>
  <si>
    <t>110K</t>
  </si>
  <si>
    <t>120K</t>
  </si>
  <si>
    <t>130K</t>
  </si>
  <si>
    <t>150K</t>
  </si>
  <si>
    <t>160K</t>
  </si>
  <si>
    <t>180K</t>
  </si>
  <si>
    <t>200K</t>
  </si>
  <si>
    <t>220K</t>
  </si>
  <si>
    <t>240K</t>
  </si>
  <si>
    <t>270K</t>
  </si>
  <si>
    <t>300K</t>
  </si>
  <si>
    <t>330K</t>
  </si>
  <si>
    <t>360K</t>
  </si>
  <si>
    <t>390K</t>
  </si>
  <si>
    <t>430K</t>
  </si>
  <si>
    <t>470K</t>
  </si>
  <si>
    <t>510K</t>
  </si>
  <si>
    <t>560K</t>
  </si>
  <si>
    <t>620K</t>
  </si>
  <si>
    <t>680K</t>
  </si>
  <si>
    <t>750K</t>
  </si>
  <si>
    <t>820K</t>
  </si>
  <si>
    <t>910K</t>
  </si>
  <si>
    <t>1M1</t>
  </si>
  <si>
    <t>1M2</t>
  </si>
  <si>
    <t>1M3</t>
  </si>
  <si>
    <t>1M5</t>
  </si>
  <si>
    <t>1M6</t>
  </si>
  <si>
    <t>1M8</t>
  </si>
  <si>
    <t>2M</t>
  </si>
  <si>
    <t>2M2</t>
  </si>
  <si>
    <t>2M4</t>
  </si>
  <si>
    <t>2M7</t>
  </si>
  <si>
    <t>3M</t>
  </si>
  <si>
    <t>3M3</t>
  </si>
  <si>
    <t>3M6</t>
  </si>
  <si>
    <t>3M9</t>
  </si>
  <si>
    <t>4M3</t>
  </si>
  <si>
    <t>4M7</t>
  </si>
  <si>
    <t>5M1</t>
  </si>
  <si>
    <t>5M6</t>
  </si>
  <si>
    <t>6M2</t>
  </si>
  <si>
    <t>6M8</t>
  </si>
  <si>
    <t>7M5</t>
  </si>
  <si>
    <t>8M2</t>
  </si>
  <si>
    <t>9M1</t>
  </si>
  <si>
    <t>10M</t>
  </si>
  <si>
    <t>RES, TH, 100K, 0.1%, 1/4W, METALFILM</t>
  </si>
  <si>
    <t>RESFILM</t>
  </si>
  <si>
    <t>RESTH025</t>
  </si>
  <si>
    <t>RTH1/4W</t>
  </si>
  <si>
    <t>0.1%</t>
  </si>
  <si>
    <t>A0080</t>
  </si>
  <si>
    <t>METALFILM</t>
  </si>
  <si>
    <t>1/4W</t>
  </si>
  <si>
    <t>RES, TH, 1K, 0.1%, 1/4W, METALFILM</t>
  </si>
  <si>
    <t>A0081</t>
  </si>
  <si>
    <t>RES, TH, 10M, 0.1%, 1/4W, METALFILM</t>
  </si>
  <si>
    <t>A0082</t>
  </si>
  <si>
    <t>RES, TH, 200K, 0.1%, 1/4W, METALFILM</t>
  </si>
  <si>
    <t>A0083</t>
  </si>
  <si>
    <t>RES, TH, 10K, 0.1%, 1/4W, METALFILM</t>
  </si>
  <si>
    <t>A0084</t>
  </si>
  <si>
    <t>RES, TH, 5M, 0.1%, 1/4W, METALFILM</t>
  </si>
  <si>
    <t>5M</t>
  </si>
  <si>
    <t>A0085</t>
  </si>
  <si>
    <t>RES, TH, 20K, 0.1%, 1/4W, METALFILM</t>
  </si>
  <si>
    <t>A0086, A0142</t>
  </si>
  <si>
    <t>RES, TH, 500K, 0.1%, 1/4W, METALFILM</t>
  </si>
  <si>
    <t>A0087</t>
  </si>
  <si>
    <t>RES, TH, 20R, 0.1%, 1/4W, METALFILM</t>
  </si>
  <si>
    <t>A0088</t>
  </si>
  <si>
    <t>RES, TH, 1M, 0.1%, 1/4W, METALFILM</t>
  </si>
  <si>
    <t>A0089</t>
  </si>
  <si>
    <t>RES, TH, 2K, 0.1%, 1/4W, METALFILM</t>
  </si>
  <si>
    <t>A0090, A0153</t>
  </si>
  <si>
    <t>RES, TH, 200R, 0.1%, 1/4W, METALFILM</t>
  </si>
  <si>
    <t>A0091</t>
  </si>
  <si>
    <t>RES, TH, 2R2, 0.1%, 1/4W, METALFILM</t>
  </si>
  <si>
    <t>2R2</t>
  </si>
  <si>
    <t>A0092</t>
  </si>
  <si>
    <t>RESWW</t>
  </si>
  <si>
    <t>RTH3W</t>
  </si>
  <si>
    <t>A0152</t>
  </si>
  <si>
    <t>WW</t>
  </si>
  <si>
    <t>3W</t>
  </si>
  <si>
    <t>A0143</t>
  </si>
  <si>
    <t>PWR220T-20-R750F</t>
  </si>
  <si>
    <t>0R75</t>
  </si>
  <si>
    <t>A0156</t>
  </si>
  <si>
    <t>CERAMIC</t>
  </si>
  <si>
    <t>20W</t>
  </si>
  <si>
    <t>RX70-025W-1K</t>
  </si>
  <si>
    <t>0.01%</t>
  </si>
  <si>
    <t>A0075</t>
  </si>
  <si>
    <t>FOIL</t>
  </si>
  <si>
    <t>RX70-025W-10K</t>
  </si>
  <si>
    <t>A0076</t>
  </si>
  <si>
    <t>PWR220T-20-R100F</t>
  </si>
  <si>
    <t>0R100</t>
  </si>
  <si>
    <t>A0012</t>
  </si>
  <si>
    <t>3262-5K</t>
  </si>
  <si>
    <t>3262</t>
  </si>
  <si>
    <t>A0002</t>
  </si>
  <si>
    <t>TRIMMER-MT</t>
  </si>
  <si>
    <t>3262X-1-502</t>
  </si>
  <si>
    <t>A0111, A112, A0113, A0115, A0117, A0120, A0121, A0118, A0114, A0122</t>
  </si>
  <si>
    <t>3323</t>
  </si>
  <si>
    <t>A0061</t>
  </si>
  <si>
    <t>TRIMMER-ST</t>
  </si>
  <si>
    <t>BAOTER</t>
  </si>
  <si>
    <t>3296W-202</t>
  </si>
  <si>
    <t>3296</t>
  </si>
  <si>
    <t>A0123</t>
  </si>
  <si>
    <t>3296W-503</t>
  </si>
  <si>
    <t>A0124</t>
  </si>
  <si>
    <t>3296W-203</t>
  </si>
  <si>
    <t>A0125</t>
  </si>
  <si>
    <t>3296W-103</t>
  </si>
  <si>
    <t>A0126</t>
  </si>
  <si>
    <t>RES, CHASSIS MOUNT, 0R1, 1%, 10W, WIREWOUND</t>
  </si>
  <si>
    <t>DALE</t>
  </si>
  <si>
    <t>RH-10 0R1</t>
  </si>
  <si>
    <t>0R1</t>
  </si>
  <si>
    <t>A0101</t>
  </si>
  <si>
    <t>10W</t>
  </si>
  <si>
    <t>RES, CHASSIS MOUNT, 10R, 5%, 25W, WIREWOUND</t>
  </si>
  <si>
    <t>ATE ELECTRONICS</t>
  </si>
  <si>
    <t>RB25</t>
  </si>
  <si>
    <t>A0102</t>
  </si>
  <si>
    <t>25W</t>
  </si>
  <si>
    <t>RES, TH, 5R7, 5%, 5W, WIREWOUND</t>
  </si>
  <si>
    <t>VITROHM</t>
  </si>
  <si>
    <t>KH208-8</t>
  </si>
  <si>
    <t>4R7</t>
  </si>
  <si>
    <t>A0103</t>
  </si>
  <si>
    <t>5W</t>
  </si>
  <si>
    <t>RES, TH, 0R47, 10%, 5W, WIREWOUND</t>
  </si>
  <si>
    <t>0R47</t>
  </si>
  <si>
    <t>10%</t>
  </si>
  <si>
    <t>A0105</t>
  </si>
  <si>
    <t>RES. TH, 47R, 5%, 3W, WIREWOUND</t>
  </si>
  <si>
    <t>A0107</t>
  </si>
  <si>
    <t>RES, TH, 2R2, 10%, 3W, WIREWOUND</t>
  </si>
  <si>
    <t>A0108</t>
  </si>
  <si>
    <t>RES, TH, 47R, 5%, 1/4W, CARBON FILM</t>
  </si>
  <si>
    <t>RES</t>
  </si>
  <si>
    <t>JAMEPRO</t>
  </si>
  <si>
    <t>A0197</t>
  </si>
  <si>
    <t>CARBON</t>
  </si>
  <si>
    <t>RES, TH, 1K, 5%, 1/4W, CARBON FILM</t>
  </si>
  <si>
    <t>A0213</t>
  </si>
  <si>
    <t>RES, TH, 100K, 5%, 1/4W, CARBON FILM</t>
  </si>
  <si>
    <t>A0248</t>
  </si>
  <si>
    <t>RES, TH, 5K1, 5%, 1/4W, CARBON FILM</t>
  </si>
  <si>
    <t>A0236</t>
  </si>
  <si>
    <t>RES, TH, 4K7, 5%, 1/4W, CARBON FILM</t>
  </si>
  <si>
    <t>A0221</t>
  </si>
  <si>
    <t>RES, TH, 680R, 5%, 1/4W, CARBON FILM</t>
  </si>
  <si>
    <t>A0184</t>
  </si>
  <si>
    <t>RES, TH, 470R, 5%, 1/4W, CARBON FILM</t>
  </si>
  <si>
    <t>A0254</t>
  </si>
  <si>
    <t>RES, TH, 2K7, 5%, 1/4W, CARBON FILM</t>
  </si>
  <si>
    <t>A0227</t>
  </si>
  <si>
    <t>RES, TH, 10K, 5%, 1/4W, CARBON FILM</t>
  </si>
  <si>
    <t>A0214</t>
  </si>
  <si>
    <t>RES, TH, 1M, 5%, 1/4W, CARBON FILM</t>
  </si>
  <si>
    <t>A0240</t>
  </si>
  <si>
    <t>RES,TH,22K,5%,1/4W,CARBONFILM</t>
  </si>
  <si>
    <t>A0250</t>
  </si>
  <si>
    <t>RES,TH,2K,5%,1/4W,CARBONFILM</t>
  </si>
  <si>
    <t>A0232</t>
  </si>
  <si>
    <t>RES, TH, 150R, 5%, 1/4W, CARBON FILM</t>
  </si>
  <si>
    <t>A0189</t>
  </si>
  <si>
    <t>RES, TH, 470K, 5%, 1/4W, CARBON FILM</t>
  </si>
  <si>
    <t>A0241</t>
  </si>
  <si>
    <t>RES, TH, 220R, 5%, 1/4W, CARBON FILM</t>
  </si>
  <si>
    <t>A0194</t>
  </si>
  <si>
    <t>RES, TH, 270R, 5%, 1/4W, CARBON FILM</t>
  </si>
  <si>
    <t>A0192</t>
  </si>
  <si>
    <t>RES, TH, 33K, 5%, 1/4W, CARBON FILM</t>
  </si>
  <si>
    <t>A0251</t>
  </si>
  <si>
    <t>RES, TH, 330R, 5%, 1/4W, CARBON FILM</t>
  </si>
  <si>
    <t>A0228</t>
  </si>
  <si>
    <t>RES, TH, 5K6, 5%, 1/4W, CARBON FILM</t>
  </si>
  <si>
    <t>A0234</t>
  </si>
  <si>
    <t>RES, TH, 10R, 5%, 1/4W, CARBON FILM</t>
  </si>
  <si>
    <t>A0196</t>
  </si>
  <si>
    <t>RES, TH, 47K, 5%, 1/4W, CARBON FILM</t>
  </si>
  <si>
    <t>A0191</t>
  </si>
  <si>
    <t>RES, TH, 2K2, 5%, 1/4W, CARBON FILM</t>
  </si>
  <si>
    <t>A0237</t>
  </si>
  <si>
    <t>RES, TH, 1K5, 5%, 1/4W, CARBON FILM</t>
  </si>
  <si>
    <t>A0247</t>
  </si>
  <si>
    <t>RES, TH, 100R, 5%, 1/4W, CARBON FILM</t>
  </si>
  <si>
    <t>A0246</t>
  </si>
  <si>
    <t>RES, TH, 10M, 5%, 1/4W, CARBON FILM</t>
  </si>
  <si>
    <t>A0255</t>
  </si>
  <si>
    <t>RES, TH, 15K, 5%, 1/4W, CARBON FILM</t>
  </si>
  <si>
    <t>A0235</t>
  </si>
  <si>
    <t>RES, TH, 3K3, 5%, 1/4W, CARBON FILM</t>
  </si>
  <si>
    <t>RESTH1000P</t>
  </si>
  <si>
    <t>A0210</t>
  </si>
  <si>
    <t>A0180</t>
  </si>
  <si>
    <t>8K98</t>
  </si>
  <si>
    <t>A0176</t>
  </si>
  <si>
    <t>8K87</t>
  </si>
  <si>
    <t>A0208</t>
  </si>
  <si>
    <t>191R</t>
  </si>
  <si>
    <t>A0206</t>
  </si>
  <si>
    <t>88R7</t>
  </si>
  <si>
    <t>A0220</t>
  </si>
  <si>
    <t>CADDOCK</t>
  </si>
  <si>
    <t>1787-31</t>
  </si>
  <si>
    <t>HYBRID</t>
  </si>
  <si>
    <t>A0157</t>
  </si>
  <si>
    <t>1776-241</t>
  </si>
  <si>
    <t>A0193</t>
  </si>
  <si>
    <t>1776-C752</t>
  </si>
  <si>
    <t>A0211</t>
  </si>
  <si>
    <t>1787-13</t>
  </si>
  <si>
    <t>A0230</t>
  </si>
  <si>
    <t>89PR20KLF</t>
  </si>
  <si>
    <t>TRIM-HOR-LONG</t>
  </si>
  <si>
    <t>A0187</t>
  </si>
  <si>
    <t>3296-502</t>
  </si>
  <si>
    <t>TRIM-MT-VERT</t>
  </si>
  <si>
    <t>A0158</t>
  </si>
  <si>
    <t>RFERFE International resistors</t>
  </si>
  <si>
    <t>CR501/2-WJ</t>
  </si>
  <si>
    <t>RTH1/2WD</t>
  </si>
  <si>
    <t>2%</t>
  </si>
  <si>
    <t>A0628</t>
  </si>
  <si>
    <t>1/2W</t>
  </si>
  <si>
    <t>SR10-1.00-1%</t>
  </si>
  <si>
    <t>HYBRID-4W</t>
  </si>
  <si>
    <t>1R</t>
  </si>
  <si>
    <t>A0319</t>
  </si>
  <si>
    <t>SR10-0.10-1%</t>
  </si>
  <si>
    <t>A0321</t>
  </si>
  <si>
    <t>89PR20LF</t>
  </si>
  <si>
    <t>TRIM</t>
  </si>
  <si>
    <t>A0390</t>
  </si>
  <si>
    <t>3/4W</t>
  </si>
  <si>
    <t>89PR2KLF</t>
  </si>
  <si>
    <t>A0389</t>
  </si>
  <si>
    <t>89PR100LF</t>
  </si>
  <si>
    <t>A0391</t>
  </si>
  <si>
    <t>MFR-25FRF52-887R</t>
  </si>
  <si>
    <t>1/4</t>
  </si>
  <si>
    <t>887R</t>
  </si>
  <si>
    <t>A0388</t>
  </si>
  <si>
    <t>MFR-25FBF52-88K7</t>
  </si>
  <si>
    <t>88K7</t>
  </si>
  <si>
    <t>A0326</t>
  </si>
  <si>
    <t>MFR-25FTE52-887K</t>
  </si>
  <si>
    <t>887K</t>
  </si>
  <si>
    <t>A0322</t>
  </si>
  <si>
    <t>MBA02040C2200FC100</t>
  </si>
  <si>
    <t>A0200</t>
  </si>
  <si>
    <t>RNF14FAD100R</t>
  </si>
  <si>
    <t>A0324</t>
  </si>
  <si>
    <t>AMETHERM</t>
  </si>
  <si>
    <t>SL03 20001</t>
  </si>
  <si>
    <t>A0286</t>
  </si>
  <si>
    <t>INRUSH</t>
  </si>
  <si>
    <t>TEPRO</t>
  </si>
  <si>
    <t>TG5 2700</t>
  </si>
  <si>
    <t>A0278</t>
  </si>
  <si>
    <t>YR1B1MOCC</t>
  </si>
  <si>
    <t>A0258</t>
  </si>
  <si>
    <t>MF0204FTE52-1M5</t>
  </si>
  <si>
    <t>A0287</t>
  </si>
  <si>
    <t>MF0207JT-52-0R1</t>
  </si>
  <si>
    <t>A0288</t>
  </si>
  <si>
    <t>SL05 60001</t>
  </si>
  <si>
    <t>60R</t>
  </si>
  <si>
    <t>A0256</t>
  </si>
  <si>
    <t>RNC55J1113BSB14</t>
  </si>
  <si>
    <t>A0257</t>
  </si>
  <si>
    <t>SR3R1000FE6S</t>
  </si>
  <si>
    <t>A0300</t>
  </si>
  <si>
    <t>NS5 560R 5W</t>
  </si>
  <si>
    <t>A0280</t>
  </si>
  <si>
    <t>BR3FBR100</t>
  </si>
  <si>
    <t>A0296</t>
  </si>
  <si>
    <t>RNF14BTE100K</t>
  </si>
  <si>
    <t>A029</t>
  </si>
  <si>
    <t>OAR1R100FLF</t>
  </si>
  <si>
    <t>A0299</t>
  </si>
  <si>
    <t>MBB02070C1504FCT00</t>
  </si>
  <si>
    <t>A0131</t>
  </si>
  <si>
    <t>1776-C68</t>
  </si>
  <si>
    <t>A0136</t>
  </si>
  <si>
    <t>RESTH2250P600D</t>
  </si>
  <si>
    <t>16.8MM</t>
  </si>
  <si>
    <t>A0661, A0686</t>
  </si>
  <si>
    <t>RESTH2000P500D</t>
  </si>
  <si>
    <t>A0684</t>
  </si>
  <si>
    <t>2W</t>
  </si>
  <si>
    <t>A0662</t>
  </si>
  <si>
    <t>A0675</t>
  </si>
  <si>
    <t>CW-2B 1K</t>
  </si>
  <si>
    <t>A0640</t>
  </si>
  <si>
    <t>PTV112-4420A-B503</t>
  </si>
  <si>
    <t>A0689</t>
  </si>
  <si>
    <t>OHMITE</t>
  </si>
  <si>
    <t>FC4L110R050FER</t>
  </si>
  <si>
    <t>4320</t>
  </si>
  <si>
    <t>0R050</t>
  </si>
  <si>
    <t>R615</t>
  </si>
  <si>
    <t>4WIRE</t>
  </si>
  <si>
    <t>RS-5 150R 1%</t>
  </si>
  <si>
    <t>A0648</t>
  </si>
  <si>
    <t>5w</t>
  </si>
  <si>
    <t>SXA0922-300-390R-5%</t>
  </si>
  <si>
    <t>A0682</t>
  </si>
  <si>
    <t>4W</t>
  </si>
  <si>
    <t>23J330</t>
  </si>
  <si>
    <t>A0674</t>
  </si>
  <si>
    <t>RS2B-2-1%</t>
  </si>
  <si>
    <t>0R2</t>
  </si>
  <si>
    <t>A0679</t>
  </si>
  <si>
    <t>CW2B-1K-5%</t>
  </si>
  <si>
    <t>A0642</t>
  </si>
  <si>
    <t>743C083100JTR</t>
  </si>
  <si>
    <t>2008</t>
  </si>
  <si>
    <t>4X10R</t>
  </si>
  <si>
    <t>R742, R743</t>
  </si>
  <si>
    <t>743-083-R100TR-ND</t>
  </si>
  <si>
    <t>RMCF0603JG10K0</t>
  </si>
  <si>
    <t>R776</t>
  </si>
  <si>
    <t>ERJ-3EKF1002V</t>
  </si>
  <si>
    <t>R789</t>
  </si>
  <si>
    <t>RC0805FR-0710ML</t>
  </si>
  <si>
    <t>R798</t>
  </si>
  <si>
    <t>RC0603FR-0712K1L</t>
  </si>
  <si>
    <t>R785</t>
  </si>
  <si>
    <t>CR0603-JW-331ELF</t>
  </si>
  <si>
    <t>R780</t>
  </si>
  <si>
    <t>RC1608F331CS</t>
  </si>
  <si>
    <t>R799</t>
  </si>
  <si>
    <t>RESISTOR, HIGH VOLTAGE, FILM 13.55MM</t>
  </si>
  <si>
    <t>LASERPRINTER CORONA</t>
  </si>
  <si>
    <t>50M</t>
  </si>
  <si>
    <t>A0439</t>
  </si>
  <si>
    <t>30M</t>
  </si>
  <si>
    <t>150M</t>
  </si>
  <si>
    <t>40M</t>
  </si>
  <si>
    <t>RESISTOR, HIGH VOLTAGE, FILM 8MM</t>
  </si>
  <si>
    <t>100M</t>
  </si>
  <si>
    <t>20M</t>
  </si>
  <si>
    <t>A0514</t>
  </si>
  <si>
    <t>A0515</t>
  </si>
  <si>
    <t>A0522</t>
  </si>
  <si>
    <t>8R2</t>
  </si>
  <si>
    <t>A0523</t>
  </si>
  <si>
    <t>TCC 0041 TR10F1006J</t>
  </si>
  <si>
    <t>A0524</t>
  </si>
  <si>
    <t>A0519</t>
  </si>
  <si>
    <t>IRC</t>
  </si>
  <si>
    <t>MAR5 2.5K .05% T16</t>
  </si>
  <si>
    <t>0.05%</t>
  </si>
  <si>
    <t>A0441</t>
  </si>
  <si>
    <t>GPI</t>
  </si>
  <si>
    <t>2K 0.1%</t>
  </si>
  <si>
    <t>A0491</t>
  </si>
  <si>
    <t>PTF56 2K5 BT13</t>
  </si>
  <si>
    <t>A0446</t>
  </si>
  <si>
    <t>TRW</t>
  </si>
  <si>
    <t>20K 0.1% T10</t>
  </si>
  <si>
    <t>A0478</t>
  </si>
  <si>
    <t>PRI/10K 0.1% TC25</t>
  </si>
  <si>
    <t>A0471</t>
  </si>
  <si>
    <t>3006P-1-502VP</t>
  </si>
  <si>
    <t>A0690</t>
  </si>
  <si>
    <t>TRIM MT HOR</t>
  </si>
  <si>
    <t>41890</t>
  </si>
  <si>
    <t>MF1/4DCT52R4700F</t>
  </si>
  <si>
    <t>A0708</t>
  </si>
  <si>
    <t>BI</t>
  </si>
  <si>
    <t>84WR200LF</t>
  </si>
  <si>
    <t>A0713</t>
  </si>
  <si>
    <t>A0714, A0716, A0731, A0728</t>
  </si>
  <si>
    <t>A0717, A0718</t>
  </si>
  <si>
    <t>A0726</t>
  </si>
  <si>
    <t>690911</t>
  </si>
  <si>
    <t>A0734</t>
  </si>
  <si>
    <t>A0733</t>
  </si>
  <si>
    <t>A0735</t>
  </si>
  <si>
    <t>A0737</t>
  </si>
  <si>
    <t>A0736</t>
  </si>
  <si>
    <t>MFR-25FTE52-2K</t>
  </si>
  <si>
    <t>2k</t>
  </si>
  <si>
    <t>A0738</t>
  </si>
  <si>
    <t>MFR-25FTE52-100K</t>
  </si>
  <si>
    <t>A0739</t>
  </si>
  <si>
    <t>MFR-25FTE52-9K76</t>
  </si>
  <si>
    <t>9K76</t>
  </si>
  <si>
    <t>A0740</t>
  </si>
  <si>
    <t>MFR-25FTE52-9K53</t>
  </si>
  <si>
    <t>9K53</t>
  </si>
  <si>
    <t>A0741</t>
  </si>
  <si>
    <t>MFR-25FTE52-1K3</t>
  </si>
  <si>
    <t>A0742</t>
  </si>
  <si>
    <t>MFR-25FTE52-30R</t>
  </si>
  <si>
    <t>A0743</t>
  </si>
  <si>
    <t>MFR-25FTE52-1K</t>
  </si>
  <si>
    <t>A0744</t>
  </si>
  <si>
    <t>MFR-25FTE52-2K26</t>
  </si>
  <si>
    <t>2K26</t>
  </si>
  <si>
    <t>A0745</t>
  </si>
  <si>
    <t>MFR-25FTE52-130R</t>
  </si>
  <si>
    <t>A0746</t>
  </si>
  <si>
    <t>9K09</t>
  </si>
  <si>
    <t>A0830</t>
  </si>
  <si>
    <t>MEC</t>
  </si>
  <si>
    <t>SWITCH LED</t>
  </si>
  <si>
    <t>R504</t>
  </si>
  <si>
    <t>CAP GREY SMALL LED</t>
  </si>
  <si>
    <t>R505</t>
  </si>
  <si>
    <t>CAP WHITE TRANSPARENT</t>
  </si>
  <si>
    <t>R506</t>
  </si>
  <si>
    <t>CAP TRANSARENT</t>
  </si>
  <si>
    <t>R508</t>
  </si>
  <si>
    <t>CAP RED LARGE LED</t>
  </si>
  <si>
    <t>R511</t>
  </si>
  <si>
    <t>LEDTESTER</t>
  </si>
  <si>
    <t>R507</t>
  </si>
  <si>
    <t>ITT</t>
  </si>
  <si>
    <t>ROTENC+SW D-SHAPE</t>
  </si>
  <si>
    <t>A0058</t>
  </si>
  <si>
    <t>SWITCH, TACTILE, 6X6, TH, 12MM ACTUATOR</t>
  </si>
  <si>
    <t>SW6X6 12MM</t>
  </si>
  <si>
    <t>A0339</t>
  </si>
  <si>
    <t>SWITCH, TACTILE, 6X6, TH, 4MM ACTUATOR</t>
  </si>
  <si>
    <t>SW6X6 4MM</t>
  </si>
  <si>
    <t>A0342, A0343</t>
  </si>
  <si>
    <t>SWITCH, TACTILE, 6X6, TH, 6MM ACTUATOR</t>
  </si>
  <si>
    <t>SW6X6 6MM</t>
  </si>
  <si>
    <t>A0347, A0346</t>
  </si>
  <si>
    <t>SWITCH, TACTILE, 6X6, TH, 9MM ACTUATOR</t>
  </si>
  <si>
    <t>SW6X6 9MM</t>
  </si>
  <si>
    <t>A0344, A0345</t>
  </si>
  <si>
    <t>SWITCH, TACTILE, 6X6, TH, 8MM ACTUATOR</t>
  </si>
  <si>
    <t>SW6X6 8MM</t>
  </si>
  <si>
    <t>A0341</t>
  </si>
  <si>
    <t>SWITCH, TACTILE, 6X6, TH, 1.5MM ACTUATOR</t>
  </si>
  <si>
    <t>SW6X6 1.5MM</t>
  </si>
  <si>
    <t>A0358, A0359</t>
  </si>
  <si>
    <t>SWITCH, TACTILE, 6X6, TH, 2MM ACTUATOR</t>
  </si>
  <si>
    <t>SW6X6 2MM</t>
  </si>
  <si>
    <t>A0348, A0349</t>
  </si>
  <si>
    <t>SWITCH, TACTILE, 6X6, TH, 10MM ACTUATOR</t>
  </si>
  <si>
    <t>SW6X6 10MM</t>
  </si>
  <si>
    <t>A0340</t>
  </si>
  <si>
    <t>SWITCH, TACTILE, 6X6, TH, 5MM ACTUATOR</t>
  </si>
  <si>
    <t>SW6X6 5MM</t>
  </si>
  <si>
    <t>A0361, A0362</t>
  </si>
  <si>
    <t>SWITCH, TACTILE, 6X6, TH, 3MM ACTUATOR</t>
  </si>
  <si>
    <t>SW6X6 3MM</t>
  </si>
  <si>
    <t>A0350, A0351</t>
  </si>
  <si>
    <t>SWITCH, TACTILE, 6X6, TH, 1MM ACTUATOR, LOW FORCE</t>
  </si>
  <si>
    <t>SW6X6 1MM LOW FORCE</t>
  </si>
  <si>
    <t>A0360</t>
  </si>
  <si>
    <t>SWITCH, TACTILE, 6X6, TH, 1MM ACTUATOR</t>
  </si>
  <si>
    <t>SW6X6 1MM</t>
  </si>
  <si>
    <t>A0352</t>
  </si>
  <si>
    <t>SWITCH, TACTILE, 6X6, TH, 2MM ACTUATOR, RIGHT ANGLE</t>
  </si>
  <si>
    <t>SW6X6 2MM RA</t>
  </si>
  <si>
    <t>THRA</t>
  </si>
  <si>
    <t>A0353, A0354, A0355, A0356, A0357</t>
  </si>
  <si>
    <t>SWITCH, TACTILE, 6X6, SMT, 0.5MM ACTUATOR, LOW FORCE</t>
  </si>
  <si>
    <t>SW6X6 SHIELD 0.5MM LOW FORCE</t>
  </si>
  <si>
    <t>SMT</t>
  </si>
  <si>
    <t>A0337</t>
  </si>
  <si>
    <t>SWITCH, TACTILE, 6X6, SMT, 1MM ACTUATOR</t>
  </si>
  <si>
    <t>SW6X6 SHIELD 1MM</t>
  </si>
  <si>
    <t>A0338</t>
  </si>
  <si>
    <t>B3S-1000</t>
  </si>
  <si>
    <t>SW415-ND</t>
  </si>
  <si>
    <t>A0336</t>
  </si>
  <si>
    <t>SWITCH, CAP FOR TEKTRONIX 1103 SWITCH</t>
  </si>
  <si>
    <t>NKK</t>
  </si>
  <si>
    <t>AT488JB</t>
  </si>
  <si>
    <t>A0624</t>
  </si>
  <si>
    <t>SWITCH, CAP, PBH SERIES, BLACK</t>
  </si>
  <si>
    <t>E-SWITCH</t>
  </si>
  <si>
    <t>1RBLK</t>
  </si>
  <si>
    <t>DPDT RA PUSH</t>
  </si>
  <si>
    <t>A0455</t>
  </si>
  <si>
    <t>SWITCH, DPDT, RA, PUSH</t>
  </si>
  <si>
    <t>PBH2UEEKZXNAGX</t>
  </si>
  <si>
    <t>A0456, A0457, A0458, A0459</t>
  </si>
  <si>
    <t>SWITCH, CAP, PBH SERIES, DARK GREY</t>
  </si>
  <si>
    <t>1RDGR</t>
  </si>
  <si>
    <t>SWITCH, CAP, PBH SERIES, RED</t>
  </si>
  <si>
    <t>1RRED</t>
  </si>
  <si>
    <t>SWITCH, CAP, PBH SERIES, WHITE</t>
  </si>
  <si>
    <t>1RWHT</t>
  </si>
  <si>
    <t>SWITCH, CAP, PBH SERIES, LIGHT GREY</t>
  </si>
  <si>
    <t>1RLGR</t>
  </si>
  <si>
    <t>SWITCH, CAP, ENCODER AGILENT, SMALL</t>
  </si>
  <si>
    <t>AGILENT</t>
  </si>
  <si>
    <t>INFINIIUM</t>
  </si>
  <si>
    <t>A0464</t>
  </si>
  <si>
    <t>SWITCH, CAP, ENCODER AGILENT, MEDIUM</t>
  </si>
  <si>
    <t>A0445</t>
  </si>
  <si>
    <t>SWITCH, DPDT, RA, PUSH, ILLUMINATED, SILVER CAP WITH IO SIGN</t>
  </si>
  <si>
    <t>WBL2UEEGQR05SILPWR</t>
  </si>
  <si>
    <t>SWITCH, DPDT, RA, PUSH, ILLUMINATED, BLACK CAP WITH IO SIGN</t>
  </si>
  <si>
    <t>WBL2UOAGYQR05BLKPWR</t>
  </si>
  <si>
    <t>SWITCH, DPDT, RA, PUSH, ILLUMINATED, CLEAR CAP,</t>
  </si>
  <si>
    <t>WBL2UOARQ</t>
  </si>
  <si>
    <t>A0501, A0502</t>
  </si>
  <si>
    <t>SWITCH, MOM, VERTICAL, MEC, PLUNGER FOR CAP</t>
  </si>
  <si>
    <t>3FTH9</t>
  </si>
  <si>
    <t>A0473, A0452, A0186</t>
  </si>
  <si>
    <t>SWITCH, MOM, VERTICAL, MEC, 20G, NO PLUNGER, GREY</t>
  </si>
  <si>
    <t>5GTH920</t>
  </si>
  <si>
    <t>A0493</t>
  </si>
  <si>
    <t>SWITCH, MOM, VERTICAL, MEC, 35G, NO PLUNGER, BLACK</t>
  </si>
  <si>
    <t>5GTH935</t>
  </si>
  <si>
    <t>A0486</t>
  </si>
  <si>
    <t>PTS645SM43SMTR92LFS</t>
  </si>
  <si>
    <t>A0477</t>
  </si>
  <si>
    <t>EVP-AEGE2A</t>
  </si>
  <si>
    <t>R767</t>
  </si>
  <si>
    <t>dpdt mini smd</t>
  </si>
  <si>
    <t>R790</t>
  </si>
  <si>
    <t>JS102011SAQN</t>
  </si>
  <si>
    <t>R772</t>
  </si>
  <si>
    <t>SW12X12-LED-WHITE</t>
  </si>
  <si>
    <t>A0517</t>
  </si>
  <si>
    <t>ENCODER, MAGNETIC</t>
  </si>
  <si>
    <t>POLOLU</t>
  </si>
  <si>
    <t>3499</t>
  </si>
  <si>
    <t>A0516</t>
  </si>
  <si>
    <t>OSEPP</t>
  </si>
  <si>
    <t>ENC-01</t>
  </si>
  <si>
    <t>SWITCH,CSPDT, MICRO WITH LEVER, RIGHT ANGLE</t>
  </si>
  <si>
    <t>KOREAN HROPARTS</t>
  </si>
  <si>
    <t>K9-1267B-L</t>
  </si>
  <si>
    <t>C136688</t>
  </si>
  <si>
    <t>A0415</t>
  </si>
  <si>
    <t>WITH LED</t>
  </si>
  <si>
    <t>A0701, A0700</t>
  </si>
  <si>
    <t>PREH</t>
  </si>
  <si>
    <t>WELLER BUTTON</t>
  </si>
  <si>
    <t>A0723</t>
  </si>
  <si>
    <t>CK</t>
  </si>
  <si>
    <t>F2UEE</t>
  </si>
  <si>
    <t>A0812</t>
  </si>
  <si>
    <t>F2UEE TB</t>
  </si>
  <si>
    <t>A0813</t>
  </si>
  <si>
    <t>TONELUCK</t>
  </si>
  <si>
    <t>PBN-S2C35-AAG</t>
  </si>
  <si>
    <t>A0814</t>
  </si>
  <si>
    <t>TSWB3NCB222LFS</t>
  </si>
  <si>
    <t>CKN10345-ND</t>
  </si>
  <si>
    <t>A0858</t>
  </si>
  <si>
    <t>THERMAL, CLIP, HEATSINK TO-220</t>
  </si>
  <si>
    <t>V12HK</t>
  </si>
  <si>
    <t>AE10766-ND</t>
  </si>
  <si>
    <t>A0335</t>
  </si>
  <si>
    <t>PNP</t>
  </si>
  <si>
    <t>BC856A,215</t>
  </si>
  <si>
    <t>R65</t>
  </si>
  <si>
    <t>65V</t>
  </si>
  <si>
    <t>NPN</t>
  </si>
  <si>
    <t>BC846A,215</t>
  </si>
  <si>
    <t>R69</t>
  </si>
  <si>
    <t>NPN, PREBIASED</t>
  </si>
  <si>
    <t>DTC144EKA</t>
  </si>
  <si>
    <t>R114</t>
  </si>
  <si>
    <t>BCX71K</t>
  </si>
  <si>
    <t>R115, R116</t>
  </si>
  <si>
    <t>45V</t>
  </si>
  <si>
    <t>MMBT3904</t>
  </si>
  <si>
    <t>LESHAN</t>
  </si>
  <si>
    <t>R120</t>
  </si>
  <si>
    <t>LMBT3904LT16</t>
  </si>
  <si>
    <t>R122, R123, R124</t>
  </si>
  <si>
    <t>MMBT2222</t>
  </si>
  <si>
    <t>R214</t>
  </si>
  <si>
    <t>0.6A</t>
  </si>
  <si>
    <t>J112</t>
  </si>
  <si>
    <t>954390</t>
  </si>
  <si>
    <t>0.005A</t>
  </si>
  <si>
    <t>J110</t>
  </si>
  <si>
    <t>814143</t>
  </si>
  <si>
    <t>0.01A</t>
  </si>
  <si>
    <t>MPSA05</t>
  </si>
  <si>
    <t>A0185</t>
  </si>
  <si>
    <t>297799</t>
  </si>
  <si>
    <t>UMH11</t>
  </si>
  <si>
    <t>SOT363</t>
  </si>
  <si>
    <t>R321</t>
  </si>
  <si>
    <t>PNP DIGITAL</t>
  </si>
  <si>
    <t>DTA114</t>
  </si>
  <si>
    <t>SC75</t>
  </si>
  <si>
    <t>R324</t>
  </si>
  <si>
    <t>MMST4401</t>
  </si>
  <si>
    <t>SC59</t>
  </si>
  <si>
    <t>R351, R344, R349, R350, R441, R442, R443, R444 TO 448</t>
  </si>
  <si>
    <t>MMBT2369</t>
  </si>
  <si>
    <t>R338, R341</t>
  </si>
  <si>
    <t>15V</t>
  </si>
  <si>
    <t>2SC3356</t>
  </si>
  <si>
    <t>R342</t>
  </si>
  <si>
    <t>R345, R346</t>
  </si>
  <si>
    <t>SIEMENS</t>
  </si>
  <si>
    <t>SMBT3904</t>
  </si>
  <si>
    <t>R347, R348, R438, R439</t>
  </si>
  <si>
    <t>MMBTA42LT1</t>
  </si>
  <si>
    <t>R456, R473</t>
  </si>
  <si>
    <t>BC848B</t>
  </si>
  <si>
    <t>R433, R434</t>
  </si>
  <si>
    <t>MMUN2111LT1</t>
  </si>
  <si>
    <t>R435, R436</t>
  </si>
  <si>
    <t>MMBT3904DW1</t>
  </si>
  <si>
    <t>R440</t>
  </si>
  <si>
    <t>CENTRAL SEMI</t>
  </si>
  <si>
    <t>CMPT3904</t>
  </si>
  <si>
    <t>R437</t>
  </si>
  <si>
    <t>BFG541</t>
  </si>
  <si>
    <t>R491</t>
  </si>
  <si>
    <t>0.12A</t>
  </si>
  <si>
    <t>INTERFET</t>
  </si>
  <si>
    <t>U232</t>
  </si>
  <si>
    <t>TO18-6</t>
  </si>
  <si>
    <t>A0093</t>
  </si>
  <si>
    <t>0.05A</t>
  </si>
  <si>
    <t>2N2907</t>
  </si>
  <si>
    <t>TO18</t>
  </si>
  <si>
    <t>A0151</t>
  </si>
  <si>
    <t>THYRISTOR</t>
  </si>
  <si>
    <t>TIC106M</t>
  </si>
  <si>
    <t>A0036</t>
  </si>
  <si>
    <t>ZDT717CT</t>
  </si>
  <si>
    <t>SM8</t>
  </si>
  <si>
    <t>A0068</t>
  </si>
  <si>
    <t>BSR13</t>
  </si>
  <si>
    <t>A0074</t>
  </si>
  <si>
    <t>BC856B</t>
  </si>
  <si>
    <t>A0077</t>
  </si>
  <si>
    <t>A0165</t>
  </si>
  <si>
    <t>BD140-16-CDI</t>
  </si>
  <si>
    <t>TO126</t>
  </si>
  <si>
    <t>A0182</t>
  </si>
  <si>
    <t>BD140</t>
  </si>
  <si>
    <t>A0239</t>
  </si>
  <si>
    <t>497-6657-5-ND</t>
  </si>
  <si>
    <t>2N2907A</t>
  </si>
  <si>
    <t>A0222, A0225</t>
  </si>
  <si>
    <t>BD140-10-CDI</t>
  </si>
  <si>
    <t>A0217</t>
  </si>
  <si>
    <t>2N2222</t>
  </si>
  <si>
    <t>A0204</t>
  </si>
  <si>
    <t>MPSA42</t>
  </si>
  <si>
    <t>A0199</t>
  </si>
  <si>
    <t>CDR</t>
  </si>
  <si>
    <t>MPSA14-CDI</t>
  </si>
  <si>
    <t>A0202</t>
  </si>
  <si>
    <t>2N3906-DIO</t>
  </si>
  <si>
    <t>A0253</t>
  </si>
  <si>
    <t>MPSA14</t>
  </si>
  <si>
    <t>A0198</t>
  </si>
  <si>
    <t>MPSA55</t>
  </si>
  <si>
    <t>A0139</t>
  </si>
  <si>
    <t>ZETEX</t>
  </si>
  <si>
    <t>ZDT717TA</t>
  </si>
  <si>
    <t>A0161</t>
  </si>
  <si>
    <t>TTD1409B</t>
  </si>
  <si>
    <t>A0207</t>
  </si>
  <si>
    <t>BC858C</t>
  </si>
  <si>
    <t>A0149</t>
  </si>
  <si>
    <t>2N2369A</t>
  </si>
  <si>
    <t>A0600</t>
  </si>
  <si>
    <t>2N5835</t>
  </si>
  <si>
    <t>TO72</t>
  </si>
  <si>
    <t>A0592</t>
  </si>
  <si>
    <t>0.015A</t>
  </si>
  <si>
    <t>MPS6531</t>
  </si>
  <si>
    <t>A0596</t>
  </si>
  <si>
    <t>CENTRAL</t>
  </si>
  <si>
    <t>TIP35</t>
  </si>
  <si>
    <t>A0597</t>
  </si>
  <si>
    <t>25A</t>
  </si>
  <si>
    <t>TIP36C</t>
  </si>
  <si>
    <t>TO218</t>
  </si>
  <si>
    <t>A0574</t>
  </si>
  <si>
    <t>SYNERTEC</t>
  </si>
  <si>
    <t>A0571, A0676</t>
  </si>
  <si>
    <t>2STA1943</t>
  </si>
  <si>
    <t>TO264</t>
  </si>
  <si>
    <t>A0593</t>
  </si>
  <si>
    <t>230V</t>
  </si>
  <si>
    <t>TECCOR (LITTELFUSE)</t>
  </si>
  <si>
    <t>S2020</t>
  </si>
  <si>
    <t>A0606</t>
  </si>
  <si>
    <t>MCR265</t>
  </si>
  <si>
    <t>A0334</t>
  </si>
  <si>
    <t>35A</t>
  </si>
  <si>
    <t>J270</t>
  </si>
  <si>
    <t>A0318</t>
  </si>
  <si>
    <t>J109</t>
  </si>
  <si>
    <t>A0317</t>
  </si>
  <si>
    <t>512-J109</t>
  </si>
  <si>
    <t xml:space="preserve"> ST</t>
  </si>
  <si>
    <t>STS2DPFS20V</t>
  </si>
  <si>
    <t>A0270, A0281</t>
  </si>
  <si>
    <t>KIA</t>
  </si>
  <si>
    <t>KIA50N03AD</t>
  </si>
  <si>
    <t>A0263</t>
  </si>
  <si>
    <t>50A</t>
  </si>
  <si>
    <t>IPA60R280P7SXXKSA1</t>
  </si>
  <si>
    <t>A0292</t>
  </si>
  <si>
    <t>A0266</t>
  </si>
  <si>
    <t>A0272</t>
  </si>
  <si>
    <t>J111</t>
  </si>
  <si>
    <t>A0285</t>
  </si>
  <si>
    <t>0.02A</t>
  </si>
  <si>
    <t>IPA60R180P7SXKSA1</t>
  </si>
  <si>
    <t>A0293</t>
  </si>
  <si>
    <t>18A</t>
  </si>
  <si>
    <t>MJL21193</t>
  </si>
  <si>
    <t>A0688</t>
  </si>
  <si>
    <t>PN2222</t>
  </si>
  <si>
    <t>A0677</t>
  </si>
  <si>
    <t>A0664</t>
  </si>
  <si>
    <t>MMBT2222A</t>
  </si>
  <si>
    <t>R616</t>
  </si>
  <si>
    <t>MMBT2907A</t>
  </si>
  <si>
    <t>R623</t>
  </si>
  <si>
    <t>CMSZ1L8</t>
  </si>
  <si>
    <t>R625</t>
  </si>
  <si>
    <t>1V8</t>
  </si>
  <si>
    <t>R713</t>
  </si>
  <si>
    <t>PUMT1</t>
  </si>
  <si>
    <t>R716</t>
  </si>
  <si>
    <t>BC337</t>
  </si>
  <si>
    <t>A0436</t>
  </si>
  <si>
    <t>2N3904</t>
  </si>
  <si>
    <t>A0444,  A0510</t>
  </si>
  <si>
    <t>2N3906</t>
  </si>
  <si>
    <t>A0480</t>
  </si>
  <si>
    <t>BC327</t>
  </si>
  <si>
    <t>A0453</t>
  </si>
  <si>
    <t>JIANGSU CHANGJIANG</t>
  </si>
  <si>
    <t>MMBT2222ALT1</t>
  </si>
  <si>
    <t>R737, R738, R739, R740</t>
  </si>
  <si>
    <t>MULLARD</t>
  </si>
  <si>
    <t>OCP 70</t>
  </si>
  <si>
    <t>A0513</t>
  </si>
  <si>
    <t>TIP125</t>
  </si>
  <si>
    <t>A0447</t>
  </si>
  <si>
    <t>SEC</t>
  </si>
  <si>
    <t>TIP120</t>
  </si>
  <si>
    <t>A0428</t>
  </si>
  <si>
    <t>TEXET</t>
  </si>
  <si>
    <t>TIP50</t>
  </si>
  <si>
    <t>A0511</t>
  </si>
  <si>
    <t>TIP105</t>
  </si>
  <si>
    <t>A0466</t>
  </si>
  <si>
    <t>TIP142</t>
  </si>
  <si>
    <t>A0432</t>
  </si>
  <si>
    <t>2N2219</t>
  </si>
  <si>
    <t>A0475</t>
  </si>
  <si>
    <t>BORN</t>
  </si>
  <si>
    <t>A0413</t>
  </si>
  <si>
    <t>A0416</t>
  </si>
  <si>
    <t>2SK170</t>
  </si>
  <si>
    <t>A0570</t>
  </si>
  <si>
    <t>A0565</t>
  </si>
  <si>
    <t>2N4028</t>
  </si>
  <si>
    <t>A0561</t>
  </si>
  <si>
    <t>2N3711</t>
  </si>
  <si>
    <t>A0553</t>
  </si>
  <si>
    <t>A0558</t>
  </si>
  <si>
    <t>A0559</t>
  </si>
  <si>
    <t>PN4117</t>
  </si>
  <si>
    <t>A0562</t>
  </si>
  <si>
    <t>A0566</t>
  </si>
  <si>
    <t>DN2540</t>
  </si>
  <si>
    <t>A0560</t>
  </si>
  <si>
    <t>SUPERTEX</t>
  </si>
  <si>
    <t>DN2535</t>
  </si>
  <si>
    <t>A0564</t>
  </si>
  <si>
    <t>2N4058</t>
  </si>
  <si>
    <t>A0563</t>
  </si>
  <si>
    <t>LND150</t>
  </si>
  <si>
    <t>A0556</t>
  </si>
  <si>
    <t>ECS</t>
  </si>
  <si>
    <t>2N6059</t>
  </si>
  <si>
    <t>TO3</t>
  </si>
  <si>
    <t>A0753</t>
  </si>
  <si>
    <t>BSC</t>
  </si>
  <si>
    <t>MJ1000</t>
  </si>
  <si>
    <t>A0784</t>
  </si>
  <si>
    <t>IR1000</t>
  </si>
  <si>
    <t>MJ15004</t>
  </si>
  <si>
    <t>A0785</t>
  </si>
  <si>
    <t>1854-0989</t>
  </si>
  <si>
    <t>STN826</t>
  </si>
  <si>
    <t>A0791</t>
  </si>
  <si>
    <t>MJ1001</t>
  </si>
  <si>
    <t>A0801</t>
  </si>
  <si>
    <t>A-2014-2-4-R</t>
  </si>
  <si>
    <t>FUS-00001</t>
  </si>
  <si>
    <t>FUS-00002</t>
  </si>
  <si>
    <t>FUS-00003</t>
  </si>
  <si>
    <t>FUS-00004</t>
  </si>
  <si>
    <t>FUS-00005</t>
  </si>
  <si>
    <t>FUS-00006</t>
  </si>
  <si>
    <t>FUS-00007</t>
  </si>
  <si>
    <t>FUS-00008</t>
  </si>
  <si>
    <t>FUS-00009</t>
  </si>
  <si>
    <t>FUS-00010</t>
  </si>
  <si>
    <t>FUS-00011</t>
  </si>
  <si>
    <t>FUS-00012</t>
  </si>
  <si>
    <t>FUS-00013</t>
  </si>
  <si>
    <t>FUS-00014</t>
  </si>
  <si>
    <t>FUS-00015</t>
  </si>
  <si>
    <t>FUS-00016</t>
  </si>
  <si>
    <t>FUS-00017</t>
  </si>
  <si>
    <t>FUS-00018</t>
  </si>
  <si>
    <t>FUS-00019</t>
  </si>
  <si>
    <t>IND-00001</t>
  </si>
  <si>
    <t>IND-00002</t>
  </si>
  <si>
    <t>IND-00003</t>
  </si>
  <si>
    <t>IND-00004</t>
  </si>
  <si>
    <t>IND-00005</t>
  </si>
  <si>
    <t>IND-00006</t>
  </si>
  <si>
    <t>IND-00007</t>
  </si>
  <si>
    <t>IND-00008</t>
  </si>
  <si>
    <t>OPT-00001</t>
  </si>
  <si>
    <t>OPT-00002</t>
  </si>
  <si>
    <t>OPT-00003</t>
  </si>
  <si>
    <t>OPT-00004</t>
  </si>
  <si>
    <t>OPT-00005</t>
  </si>
  <si>
    <t>OPT-00006</t>
  </si>
  <si>
    <t>OPT-00007</t>
  </si>
  <si>
    <t>OPT-00008</t>
  </si>
  <si>
    <t>OPT-00009</t>
  </si>
  <si>
    <t>OPT-00010</t>
  </si>
  <si>
    <t>OPT-00011</t>
  </si>
  <si>
    <t>OPT-00012</t>
  </si>
  <si>
    <t>OPT-00013</t>
  </si>
  <si>
    <t>OPT-00014</t>
  </si>
  <si>
    <t>OPT-00015</t>
  </si>
  <si>
    <t>OPT-00016</t>
  </si>
  <si>
    <t>OPT-00017</t>
  </si>
  <si>
    <t>OPT-00018</t>
  </si>
  <si>
    <t>OPT-00019</t>
  </si>
  <si>
    <t>OPT-00020</t>
  </si>
  <si>
    <t>OPT-00021</t>
  </si>
  <si>
    <t>OPT-00022</t>
  </si>
  <si>
    <t>OPT-00023</t>
  </si>
  <si>
    <t>OPT-00024</t>
  </si>
  <si>
    <t>OPT-00025</t>
  </si>
  <si>
    <t>OPT-00026</t>
  </si>
  <si>
    <t>OPT-00027</t>
  </si>
  <si>
    <t>OPT-00028</t>
  </si>
  <si>
    <t>OPT-00029</t>
  </si>
  <si>
    <t>OPT-00030</t>
  </si>
  <si>
    <t>OPT-00031</t>
  </si>
  <si>
    <t>OPT-00032</t>
  </si>
  <si>
    <t>OPT-00033</t>
  </si>
  <si>
    <t>OPT-00034</t>
  </si>
  <si>
    <t>OPT-00035</t>
  </si>
  <si>
    <t>OPT-00036</t>
  </si>
  <si>
    <t>OPT-00037</t>
  </si>
  <si>
    <t>OPT-00038</t>
  </si>
  <si>
    <t>OPT-00039</t>
  </si>
  <si>
    <t>OPT-00040</t>
  </si>
  <si>
    <t>OPT-00041</t>
  </si>
  <si>
    <t>OPT-00042</t>
  </si>
  <si>
    <t>OPT-00043</t>
  </si>
  <si>
    <t>OPT-00044</t>
  </si>
  <si>
    <t>OPT-00045</t>
  </si>
  <si>
    <t>OPT-00046</t>
  </si>
  <si>
    <t>OPT-00047</t>
  </si>
  <si>
    <t>OPT-00048</t>
  </si>
  <si>
    <t>OPT-00049</t>
  </si>
  <si>
    <t>OPT-00050</t>
  </si>
  <si>
    <t>OPT-00051</t>
  </si>
  <si>
    <t>OPT-00052</t>
  </si>
  <si>
    <t>OPT-00053</t>
  </si>
  <si>
    <t>OPT-00054</t>
  </si>
  <si>
    <t>OPT-00055</t>
  </si>
  <si>
    <t>OPT-00056</t>
  </si>
  <si>
    <t>OPT-00057</t>
  </si>
  <si>
    <t>OPT-00058</t>
  </si>
  <si>
    <t>OPT-00059</t>
  </si>
  <si>
    <t>OPT-00060</t>
  </si>
  <si>
    <t>OPT-00061</t>
  </si>
  <si>
    <t>CONFIGURATION</t>
  </si>
  <si>
    <t>48V</t>
  </si>
  <si>
    <t>P-MOS</t>
  </si>
  <si>
    <t>N-MOS</t>
  </si>
  <si>
    <t>INTERFACE,DRIVER</t>
  </si>
  <si>
    <t>SENSOR,TEMPERATURE</t>
  </si>
  <si>
    <t>OPAMP,QUAD</t>
  </si>
  <si>
    <t>MEMORY,SPI</t>
  </si>
  <si>
    <t>OPAMP,INSTRUMENTATION</t>
  </si>
  <si>
    <t>LOGIC,SINGLEGATE, MUX SPST</t>
  </si>
  <si>
    <t>REG,SWITCHING,BUCK</t>
  </si>
  <si>
    <t>ADC/DAC,I2C</t>
  </si>
  <si>
    <t>OPAMP,SINGLE</t>
  </si>
  <si>
    <t>REG,LINEAR,POS</t>
  </si>
  <si>
    <t>OPAMP,DUAL,PRECISION</t>
  </si>
  <si>
    <t>REG,SWITCH,INVERT</t>
  </si>
  <si>
    <t>SHORTNAME</t>
  </si>
  <si>
    <t>SIP-4</t>
  </si>
  <si>
    <t>XTAL-00001</t>
  </si>
  <si>
    <t>XTAL-00002</t>
  </si>
  <si>
    <t>XTAL-00003</t>
  </si>
  <si>
    <t>XTAL-00004</t>
  </si>
  <si>
    <t>XTAL-00005</t>
  </si>
  <si>
    <t>XTAL-00006</t>
  </si>
  <si>
    <t>XTAL-00007</t>
  </si>
  <si>
    <t>XTAL-00008</t>
  </si>
  <si>
    <t>XTAL-00009</t>
  </si>
  <si>
    <t>XTAL-00010</t>
  </si>
  <si>
    <t>XTAL-00011</t>
  </si>
  <si>
    <t>XTAL-00012</t>
  </si>
  <si>
    <t>XTAL-00013</t>
  </si>
  <si>
    <t>XTAL-00014</t>
  </si>
  <si>
    <t>XTAL-00015</t>
  </si>
  <si>
    <t>XTAL-00016</t>
  </si>
  <si>
    <t>XTAL-00017</t>
  </si>
  <si>
    <t>CRYSTAL</t>
  </si>
  <si>
    <t>GENERIC</t>
  </si>
  <si>
    <t>535-13350-1-ND</t>
  </si>
  <si>
    <t>BUZZER,PIEZO</t>
  </si>
  <si>
    <t>CEP-2242</t>
  </si>
  <si>
    <t>MICROPHONE,ELECTRET</t>
  </si>
  <si>
    <t>LITHIUM,2/3A</t>
  </si>
  <si>
    <t>LITHIUM,CR14250</t>
  </si>
  <si>
    <t>DIELECTRIC</t>
  </si>
  <si>
    <t>4p7</t>
  </si>
  <si>
    <t>1nF</t>
  </si>
  <si>
    <t>33pF</t>
  </si>
  <si>
    <t>150pF</t>
  </si>
  <si>
    <t>10nf</t>
  </si>
  <si>
    <t>680pF</t>
  </si>
  <si>
    <t>6n8</t>
  </si>
  <si>
    <t>22nF</t>
  </si>
  <si>
    <t>20pF</t>
  </si>
  <si>
    <t>100pF</t>
  </si>
  <si>
    <t>3n3</t>
  </si>
  <si>
    <t>AP</t>
  </si>
  <si>
    <t>VOLTAGE</t>
  </si>
  <si>
    <t>VALUE</t>
  </si>
  <si>
    <t>PACKAGE</t>
  </si>
  <si>
    <t>CON-00002</t>
  </si>
  <si>
    <t>CON-00003</t>
  </si>
  <si>
    <t>CON-00004</t>
  </si>
  <si>
    <t>CON-00005</t>
  </si>
  <si>
    <t>CON-00006</t>
  </si>
  <si>
    <t>CON-00007</t>
  </si>
  <si>
    <t>CON-00008</t>
  </si>
  <si>
    <t>CON-00009</t>
  </si>
  <si>
    <t>CON-00010</t>
  </si>
  <si>
    <t>CON-00011</t>
  </si>
  <si>
    <t>CON-00012</t>
  </si>
  <si>
    <t>CON-00013</t>
  </si>
  <si>
    <t>CON-00014</t>
  </si>
  <si>
    <t>CON-00015</t>
  </si>
  <si>
    <t>CON-00016</t>
  </si>
  <si>
    <t>CON-00017</t>
  </si>
  <si>
    <t>CON-00018</t>
  </si>
  <si>
    <t>CON-00019</t>
  </si>
  <si>
    <t>CON-00020</t>
  </si>
  <si>
    <t>CON-00021</t>
  </si>
  <si>
    <t>CON-00022</t>
  </si>
  <si>
    <t>CON-00023</t>
  </si>
  <si>
    <t>CON-00024</t>
  </si>
  <si>
    <t>CON-00025</t>
  </si>
  <si>
    <t>CON-00026</t>
  </si>
  <si>
    <t>CON-00027</t>
  </si>
  <si>
    <t>CON-00028</t>
  </si>
  <si>
    <t>CON-00029</t>
  </si>
  <si>
    <t>CON-00030</t>
  </si>
  <si>
    <t>CON-00031</t>
  </si>
  <si>
    <t>CON-00032</t>
  </si>
  <si>
    <t>CON-00033</t>
  </si>
  <si>
    <t>CON-00034</t>
  </si>
  <si>
    <t>CON-00035</t>
  </si>
  <si>
    <t>CON-00036</t>
  </si>
  <si>
    <t>CON-00037</t>
  </si>
  <si>
    <t>CON-00038</t>
  </si>
  <si>
    <t>CON-00039</t>
  </si>
  <si>
    <t>CON-00040</t>
  </si>
  <si>
    <t>CON-00041</t>
  </si>
  <si>
    <t>CON-00042</t>
  </si>
  <si>
    <t>CON-00043</t>
  </si>
  <si>
    <t>CON-00044</t>
  </si>
  <si>
    <t>CON-00045</t>
  </si>
  <si>
    <t>CON-00046</t>
  </si>
  <si>
    <t>CON-00047</t>
  </si>
  <si>
    <t>CON-00048</t>
  </si>
  <si>
    <t>CON-00049</t>
  </si>
  <si>
    <t>CON-00050</t>
  </si>
  <si>
    <t>CON-00051</t>
  </si>
  <si>
    <t>CON-00052</t>
  </si>
  <si>
    <t>CON-00053</t>
  </si>
  <si>
    <t>CON-00054</t>
  </si>
  <si>
    <t>CON-00055</t>
  </si>
  <si>
    <t>CON-00056</t>
  </si>
  <si>
    <t>CON-00057</t>
  </si>
  <si>
    <t>CON-00058</t>
  </si>
  <si>
    <t>CON-00059</t>
  </si>
  <si>
    <t>CON-00060</t>
  </si>
  <si>
    <t>CON-00061</t>
  </si>
  <si>
    <t>CON-00062</t>
  </si>
  <si>
    <t>CON-00063</t>
  </si>
  <si>
    <t>CON-00064</t>
  </si>
  <si>
    <t>CON-00065</t>
  </si>
  <si>
    <t>CON-00066</t>
  </si>
  <si>
    <t>CON-00067</t>
  </si>
  <si>
    <t>CON-00068</t>
  </si>
  <si>
    <t>CON-00069</t>
  </si>
  <si>
    <t>CON-00070</t>
  </si>
  <si>
    <t>CON-00071</t>
  </si>
  <si>
    <t>CON-00072</t>
  </si>
  <si>
    <t>CON-00073</t>
  </si>
  <si>
    <t>CON-00074</t>
  </si>
  <si>
    <t>CON-00075</t>
  </si>
  <si>
    <t>CON-00076</t>
  </si>
  <si>
    <t>CON-00077</t>
  </si>
  <si>
    <t>CON-00078</t>
  </si>
  <si>
    <t>CON-00079</t>
  </si>
  <si>
    <t>CON-00080</t>
  </si>
  <si>
    <t>CON-00081</t>
  </si>
  <si>
    <t>CON-00082</t>
  </si>
  <si>
    <t>CON-00083</t>
  </si>
  <si>
    <t>CON-00084</t>
  </si>
  <si>
    <t>MOUNTING</t>
  </si>
  <si>
    <t>IC SOCKET,8-PIN</t>
  </si>
  <si>
    <t>IC SOCKET,14-PIN</t>
  </si>
  <si>
    <t>BANANA JACK,SAFETY,PANEL MOUNT,PIN,BLACK</t>
  </si>
  <si>
    <t>BANANA JACK,SAFETY,PANEL MOUNT,PIN,RED</t>
  </si>
  <si>
    <t>BANANA JACK,SAFETY,PANEL MOUNT,PIN,YELLOW</t>
  </si>
  <si>
    <t>BANANA JACK,SAFETY,PANEL MOUNT,PIN,BROWN</t>
  </si>
  <si>
    <t>BANANA JACK,SAFETY,PANEL MOUNT,PIN,PURPLE</t>
  </si>
  <si>
    <t>BANANA JACK,SAFETY,PANEL MOUNT,PIN,GREEN</t>
  </si>
  <si>
    <t>BANANA JACK,SAFETY,PANEL MOUNT,PIN,BLUE</t>
  </si>
  <si>
    <t>BANANA JACK,SAFETY,PANEL MOUNT,PIN,WHITE</t>
  </si>
  <si>
    <t>BINDING POST,HEAVY,GREY,MULTICOLOR</t>
  </si>
  <si>
    <t>BANANA,NON STACKABLE MULTI COLOR</t>
  </si>
  <si>
    <t>USB2,MINI B,SMD, RIGHT ANGLE</t>
  </si>
  <si>
    <t>USB3,RIGHT ANGLE</t>
  </si>
  <si>
    <t>USB2,MINI B,SMD</t>
  </si>
  <si>
    <t>IC SOCKET,16-PIN</t>
  </si>
  <si>
    <t>IC SOCKET,18-PIN</t>
  </si>
  <si>
    <t>IC SOCKET,20-PIN</t>
  </si>
  <si>
    <t>IC SOCKET,24-PIN,NARROW</t>
  </si>
  <si>
    <t>IC SOCKET,24-PIN,WIDE</t>
  </si>
  <si>
    <t>IC SOCKET,28-PIN</t>
  </si>
  <si>
    <t>IC SOCKET40-PIN</t>
  </si>
  <si>
    <t>PHOENIX MSTB 2,5/2</t>
  </si>
  <si>
    <t>PHOENIX MSTB 2,5/3</t>
  </si>
  <si>
    <t>PHOENIX MSTB 2,5/9</t>
  </si>
  <si>
    <t>DOUBLE BANANA,RED</t>
  </si>
  <si>
    <t>IC SOCKET,PLCC28,SMD</t>
  </si>
  <si>
    <t>JST</t>
  </si>
  <si>
    <t>IC SOCKET,ZIF 28 WIDE</t>
  </si>
  <si>
    <t>IC SOCKET,ZIF 20</t>
  </si>
  <si>
    <t>BANANA,SAFETY SHROUD,BLUE</t>
  </si>
  <si>
    <t>BANANA,SAFETY SHROUD,YELLOW</t>
  </si>
  <si>
    <t>BANANA,SAFETY SHROUD,RED</t>
  </si>
  <si>
    <t>BANANA,SAFETY SHROUD,BLACK</t>
  </si>
  <si>
    <t>JUMPER,100MIL,YELLOW</t>
  </si>
  <si>
    <t>JUMPER,100MIL,RED</t>
  </si>
  <si>
    <t>JUMPER,100MIL,BLUE</t>
  </si>
  <si>
    <t>JUMPER,100MIL,GREEN</t>
  </si>
  <si>
    <t>JUMPER,100MIL,WHITE</t>
  </si>
  <si>
    <t>JUMPER,100MIL,BLACK</t>
  </si>
  <si>
    <t>PHOENIX MSTB 2,5/5</t>
  </si>
  <si>
    <t>PHOENIX MSTBW 2,5/2</t>
  </si>
  <si>
    <t>PHOENIX MSTBW 2,5/3</t>
  </si>
  <si>
    <t>PHOENIX MSTBW 2,5/5</t>
  </si>
  <si>
    <t>PHOENIX MSTBW 2,5/9</t>
  </si>
  <si>
    <t>PINHEADER,2mm,SOCKET,10X2,2MM,SMD</t>
  </si>
  <si>
    <t>PINHEADER,2.54mm,SOCKET,6X1,GREEN</t>
  </si>
  <si>
    <t>PINHEADER,2.54mm,SOCKET,6X1,RED</t>
  </si>
  <si>
    <t>PINHEADER,2.54mm,SOCKET,6X1,BLUE</t>
  </si>
  <si>
    <t>PINHEADER,2.54mm,SOCKET,6X1,YELLOW</t>
  </si>
  <si>
    <t>PINHEADER,2.54mm,72X1,BLACK</t>
  </si>
  <si>
    <t>PINHEADER,2.54mm,72X1,RED</t>
  </si>
  <si>
    <t>PINHEADER,2.54mm,72X1,YELLOW</t>
  </si>
  <si>
    <t>PINHEADER,2.54mm,72X1,WHITE</t>
  </si>
  <si>
    <t>PINHEADER,2.54mm,72X1,GREY</t>
  </si>
  <si>
    <t>PINHEADER,2.54mm,SOCKET,72X2</t>
  </si>
  <si>
    <t>PINHEADER,2.54mm,72X1,BLUE</t>
  </si>
  <si>
    <t>MODJACK,8P8C,RA</t>
  </si>
  <si>
    <t>BOXHEADER,2.54mm,7X2</t>
  </si>
  <si>
    <t>PINHEADER,2.54mm,8X2</t>
  </si>
  <si>
    <t>MOLEX,SL70553,3X1,SHROUDED,R/A</t>
  </si>
  <si>
    <t>JUMPER,2.54mm,YELLOW</t>
  </si>
  <si>
    <t>JUMPER,2.54mm,BLACK</t>
  </si>
  <si>
    <t>JUMPER,2.54mm,GREEN</t>
  </si>
  <si>
    <t>JUMPER,2.54mm,RED</t>
  </si>
  <si>
    <t>JUMPER,2.54mm,BLUE</t>
  </si>
  <si>
    <t>ARDUINO</t>
  </si>
  <si>
    <t>DISP-00001</t>
  </si>
  <si>
    <t>DISP-00002</t>
  </si>
  <si>
    <t>LCD,PASSIVE,8X14 SEG</t>
  </si>
  <si>
    <t>FB-00001</t>
  </si>
  <si>
    <t>FB-00002</t>
  </si>
  <si>
    <t>FB-00003</t>
  </si>
  <si>
    <t>FB-00004</t>
  </si>
  <si>
    <t>FB-00005</t>
  </si>
  <si>
    <t>FB-00006</t>
  </si>
  <si>
    <t>CORE</t>
  </si>
  <si>
    <t>--</t>
  </si>
  <si>
    <t>90mA</t>
  </si>
  <si>
    <t>315ma</t>
  </si>
  <si>
    <t>500mA</t>
  </si>
  <si>
    <t>PICOFUSE,WIRED</t>
  </si>
  <si>
    <t>SOCKETED,SMD</t>
  </si>
  <si>
    <t>ROUND,TH</t>
  </si>
  <si>
    <t>550mA</t>
  </si>
  <si>
    <t>PTC,RESETTABLE</t>
  </si>
  <si>
    <t>350mA</t>
  </si>
  <si>
    <t>MURATA</t>
  </si>
  <si>
    <t>54mA</t>
  </si>
  <si>
    <t>CARTRIDGE,FLUKE</t>
  </si>
  <si>
    <t>PIGTAIL</t>
  </si>
  <si>
    <t>IC-00001</t>
  </si>
  <si>
    <t>IC-00002</t>
  </si>
  <si>
    <t>IC-00003</t>
  </si>
  <si>
    <t>IC-00004</t>
  </si>
  <si>
    <t>IC-00005</t>
  </si>
  <si>
    <t>IC-00006</t>
  </si>
  <si>
    <t>IC-00007</t>
  </si>
  <si>
    <t>IC-00008</t>
  </si>
  <si>
    <t>IC-00009</t>
  </si>
  <si>
    <t>IC-00010</t>
  </si>
  <si>
    <t>IC-00011</t>
  </si>
  <si>
    <t>IC-00012</t>
  </si>
  <si>
    <t>IC-00013</t>
  </si>
  <si>
    <t>IC-00014</t>
  </si>
  <si>
    <t>IC-00015</t>
  </si>
  <si>
    <t>IC-00016</t>
  </si>
  <si>
    <t>IC-00017</t>
  </si>
  <si>
    <t>IC-00018</t>
  </si>
  <si>
    <t>IC-00019</t>
  </si>
  <si>
    <t>IC-00020</t>
  </si>
  <si>
    <t>IC-00021</t>
  </si>
  <si>
    <t>IC-00022</t>
  </si>
  <si>
    <t>IC-00023</t>
  </si>
  <si>
    <t>IC-00024</t>
  </si>
  <si>
    <t>IC-00025</t>
  </si>
  <si>
    <t>IC-00026</t>
  </si>
  <si>
    <t>IC-00027</t>
  </si>
  <si>
    <t>IC-00028</t>
  </si>
  <si>
    <t>IC-00029</t>
  </si>
  <si>
    <t>IC-00030</t>
  </si>
  <si>
    <t>IC-00031</t>
  </si>
  <si>
    <t>IC-00032</t>
  </si>
  <si>
    <t>IC-00033</t>
  </si>
  <si>
    <t>IC-00034</t>
  </si>
  <si>
    <t>IC-00035</t>
  </si>
  <si>
    <t>IC-00036</t>
  </si>
  <si>
    <t>IC-00037</t>
  </si>
  <si>
    <t>IC-00038</t>
  </si>
  <si>
    <t>IC-00039</t>
  </si>
  <si>
    <t>IC-00040</t>
  </si>
  <si>
    <t>IC-00041</t>
  </si>
  <si>
    <t>IC-00042</t>
  </si>
  <si>
    <t>IC-00043</t>
  </si>
  <si>
    <t>IC-00044</t>
  </si>
  <si>
    <t>IC-00045</t>
  </si>
  <si>
    <t>IC-00046</t>
  </si>
  <si>
    <t>IC-00047</t>
  </si>
  <si>
    <t>IC-00048</t>
  </si>
  <si>
    <t>IC-00049</t>
  </si>
  <si>
    <t>IC-00050</t>
  </si>
  <si>
    <t>IC-00051</t>
  </si>
  <si>
    <t>IC-00052</t>
  </si>
  <si>
    <t>IC-00053</t>
  </si>
  <si>
    <t>IC-00054</t>
  </si>
  <si>
    <t>IC-00055</t>
  </si>
  <si>
    <t>IC-00056</t>
  </si>
  <si>
    <t>IC-00057</t>
  </si>
  <si>
    <t>IC-00058</t>
  </si>
  <si>
    <t>IC-00059</t>
  </si>
  <si>
    <t>IC-00060</t>
  </si>
  <si>
    <t>IC-00061</t>
  </si>
  <si>
    <t>IC-00062</t>
  </si>
  <si>
    <t>IC-00063</t>
  </si>
  <si>
    <t>IC-00064</t>
  </si>
  <si>
    <t>IC-00065</t>
  </si>
  <si>
    <t>IC-00066</t>
  </si>
  <si>
    <t>IC-00067</t>
  </si>
  <si>
    <t>IC-00068</t>
  </si>
  <si>
    <t>IC-00069</t>
  </si>
  <si>
    <t>IC-00070</t>
  </si>
  <si>
    <t>IC-00071</t>
  </si>
  <si>
    <t>IC-00072</t>
  </si>
  <si>
    <t>IC-00073</t>
  </si>
  <si>
    <t>IC-00074</t>
  </si>
  <si>
    <t>IC-00075</t>
  </si>
  <si>
    <t>IC-00076</t>
  </si>
  <si>
    <t>IC-00077</t>
  </si>
  <si>
    <t>IC-00078</t>
  </si>
  <si>
    <t>IC-00079</t>
  </si>
  <si>
    <t>IC-00080</t>
  </si>
  <si>
    <t>IC-00081</t>
  </si>
  <si>
    <t>IC-00082</t>
  </si>
  <si>
    <t>IC-00083</t>
  </si>
  <si>
    <t>IC-00084</t>
  </si>
  <si>
    <t>IC-00085</t>
  </si>
  <si>
    <t>IC-00086</t>
  </si>
  <si>
    <t>IC-00087</t>
  </si>
  <si>
    <t>IC-00088</t>
  </si>
  <si>
    <t>IC-00089</t>
  </si>
  <si>
    <t>IC-00090</t>
  </si>
  <si>
    <t>IC-00091</t>
  </si>
  <si>
    <t>IC-00092</t>
  </si>
  <si>
    <t>IC-00093</t>
  </si>
  <si>
    <t>IC-00094</t>
  </si>
  <si>
    <t>IC-00095</t>
  </si>
  <si>
    <t>IC-00096</t>
  </si>
  <si>
    <t>IC-00097</t>
  </si>
  <si>
    <t>IC-00098</t>
  </si>
  <si>
    <t>IC-00099</t>
  </si>
  <si>
    <t>IC-00100</t>
  </si>
  <si>
    <t>IC-00101</t>
  </si>
  <si>
    <t>IC-00102</t>
  </si>
  <si>
    <t>IC-00103</t>
  </si>
  <si>
    <t>IC-00104</t>
  </si>
  <si>
    <t>IC-00105</t>
  </si>
  <si>
    <t>IC-00106</t>
  </si>
  <si>
    <t>IC-00107</t>
  </si>
  <si>
    <t>IC-00108</t>
  </si>
  <si>
    <t>IC-00109</t>
  </si>
  <si>
    <t>IC-00110</t>
  </si>
  <si>
    <t>IC-00111</t>
  </si>
  <si>
    <t>IC-00112</t>
  </si>
  <si>
    <t>IC-00113</t>
  </si>
  <si>
    <t>IC-00114</t>
  </si>
  <si>
    <t>IC-00115</t>
  </si>
  <si>
    <t>IC-00116</t>
  </si>
  <si>
    <t>IC-00117</t>
  </si>
  <si>
    <t>IC-00118</t>
  </si>
  <si>
    <t>IC-00119</t>
  </si>
  <si>
    <t>IC-00120</t>
  </si>
  <si>
    <t>IC-00121</t>
  </si>
  <si>
    <t>IC-00122</t>
  </si>
  <si>
    <t>IC-00123</t>
  </si>
  <si>
    <t>IC-00124</t>
  </si>
  <si>
    <t>IC-00125</t>
  </si>
  <si>
    <t>IC-00126</t>
  </si>
  <si>
    <t>IC-00127</t>
  </si>
  <si>
    <t>IC-00128</t>
  </si>
  <si>
    <t>IC-00129</t>
  </si>
  <si>
    <t>IC-00130</t>
  </si>
  <si>
    <t>IC-00131</t>
  </si>
  <si>
    <t>IC-00132</t>
  </si>
  <si>
    <t>IC-00133</t>
  </si>
  <si>
    <t>IC-00134</t>
  </si>
  <si>
    <t>IC-00135</t>
  </si>
  <si>
    <t>IC-00136</t>
  </si>
  <si>
    <t>IC-00137</t>
  </si>
  <si>
    <t>IC-00138</t>
  </si>
  <si>
    <t>IC-00139</t>
  </si>
  <si>
    <t>IC-00140</t>
  </si>
  <si>
    <t>IC-00141</t>
  </si>
  <si>
    <t>IC-00142</t>
  </si>
  <si>
    <t>IC-00143</t>
  </si>
  <si>
    <t>IC-00144</t>
  </si>
  <si>
    <t>IC-00145</t>
  </si>
  <si>
    <t>IC-00146</t>
  </si>
  <si>
    <t>IC-00147</t>
  </si>
  <si>
    <t>IC-00148</t>
  </si>
  <si>
    <t>IC-00149</t>
  </si>
  <si>
    <t>IC-00150</t>
  </si>
  <si>
    <t>IC-00151</t>
  </si>
  <si>
    <t>IC-00152</t>
  </si>
  <si>
    <t>IC-00153</t>
  </si>
  <si>
    <t>IC-00154</t>
  </si>
  <si>
    <t>IC-00155</t>
  </si>
  <si>
    <t>IC-00156</t>
  </si>
  <si>
    <t>IC-00157</t>
  </si>
  <si>
    <t>IC-00158</t>
  </si>
  <si>
    <t>IC-00159</t>
  </si>
  <si>
    <t>IC-00160</t>
  </si>
  <si>
    <t>IC-00161</t>
  </si>
  <si>
    <t>IC-00162</t>
  </si>
  <si>
    <t>IC-00163</t>
  </si>
  <si>
    <t>IC-00164</t>
  </si>
  <si>
    <t>IC-00165</t>
  </si>
  <si>
    <t>IC-00166</t>
  </si>
  <si>
    <t>IC-00167</t>
  </si>
  <si>
    <t>IC-00168</t>
  </si>
  <si>
    <t>IC-00169</t>
  </si>
  <si>
    <t>IC-00170</t>
  </si>
  <si>
    <t>IC-00171</t>
  </si>
  <si>
    <t>IC-00172</t>
  </si>
  <si>
    <t>IC-00173</t>
  </si>
  <si>
    <t>IC-00174</t>
  </si>
  <si>
    <t>IC-00175</t>
  </si>
  <si>
    <t>IC-00176</t>
  </si>
  <si>
    <t>IC-00177</t>
  </si>
  <si>
    <t>IC-00178</t>
  </si>
  <si>
    <t>IC-00179</t>
  </si>
  <si>
    <t>IC-00180</t>
  </si>
  <si>
    <t>IC-00181</t>
  </si>
  <si>
    <t>IC-00182</t>
  </si>
  <si>
    <t>IC-00183</t>
  </si>
  <si>
    <t>IC-00184</t>
  </si>
  <si>
    <t>IC-00185</t>
  </si>
  <si>
    <t>IC-00186</t>
  </si>
  <si>
    <t>IC-00187</t>
  </si>
  <si>
    <t>IC-00188</t>
  </si>
  <si>
    <t>IC-00189</t>
  </si>
  <si>
    <t>IC-00190</t>
  </si>
  <si>
    <t>IC-00191</t>
  </si>
  <si>
    <t>IC-00192</t>
  </si>
  <si>
    <t>IC-00193</t>
  </si>
  <si>
    <t>IC-00194</t>
  </si>
  <si>
    <t>IC-00195</t>
  </si>
  <si>
    <t>IC-00196</t>
  </si>
  <si>
    <t>IC-00197</t>
  </si>
  <si>
    <t>IC-00198</t>
  </si>
  <si>
    <t>IC-00199</t>
  </si>
  <si>
    <t>IC-00200</t>
  </si>
  <si>
    <t>IC-00201</t>
  </si>
  <si>
    <t>IC-00202</t>
  </si>
  <si>
    <t>IC-00203</t>
  </si>
  <si>
    <t>IC-00204</t>
  </si>
  <si>
    <t>IC-00205</t>
  </si>
  <si>
    <t>IC-00206</t>
  </si>
  <si>
    <t>IC-00207</t>
  </si>
  <si>
    <t>IC-00208</t>
  </si>
  <si>
    <t>IC-00209</t>
  </si>
  <si>
    <t>IC-00210</t>
  </si>
  <si>
    <t>IC-00211</t>
  </si>
  <si>
    <t>IC-00212</t>
  </si>
  <si>
    <t>IC-00213</t>
  </si>
  <si>
    <t>IC-00214</t>
  </si>
  <si>
    <t>IC-00215</t>
  </si>
  <si>
    <t>IC-00216</t>
  </si>
  <si>
    <t>IC-00217</t>
  </si>
  <si>
    <t>IC-00218</t>
  </si>
  <si>
    <t>IC-00219</t>
  </si>
  <si>
    <t>IC-00220</t>
  </si>
  <si>
    <t>IC-00221</t>
  </si>
  <si>
    <t>IC-00222</t>
  </si>
  <si>
    <t>IC-00223</t>
  </si>
  <si>
    <t>IC-00224</t>
  </si>
  <si>
    <t>IC-00225</t>
  </si>
  <si>
    <t>IC-00226</t>
  </si>
  <si>
    <t>IC-00227</t>
  </si>
  <si>
    <t>IC-00228</t>
  </si>
  <si>
    <t>IC-00229</t>
  </si>
  <si>
    <t>IC-00230</t>
  </si>
  <si>
    <t>IC-00231</t>
  </si>
  <si>
    <t>IC-00232</t>
  </si>
  <si>
    <t>IC-00233</t>
  </si>
  <si>
    <t>IC-00234</t>
  </si>
  <si>
    <t>IC-00235</t>
  </si>
  <si>
    <t>IC-00236</t>
  </si>
  <si>
    <t>IC-00237</t>
  </si>
  <si>
    <t>IC-00238</t>
  </si>
  <si>
    <t>IC-00239</t>
  </si>
  <si>
    <t>IC-00240</t>
  </si>
  <si>
    <t>IC-00241</t>
  </si>
  <si>
    <t>IC-00242</t>
  </si>
  <si>
    <t>IC-00243</t>
  </si>
  <si>
    <t>IC-00244</t>
  </si>
  <si>
    <t>IC-00245</t>
  </si>
  <si>
    <t>IC-00246</t>
  </si>
  <si>
    <t>IC-00247</t>
  </si>
  <si>
    <t>IC-00248</t>
  </si>
  <si>
    <t>IC-00249</t>
  </si>
  <si>
    <t>IC-00250</t>
  </si>
  <si>
    <t>IC-00251</t>
  </si>
  <si>
    <t>IC-00252</t>
  </si>
  <si>
    <t>IC-00253</t>
  </si>
  <si>
    <t>IC-00254</t>
  </si>
  <si>
    <t>IC-00255</t>
  </si>
  <si>
    <t>IC-00256</t>
  </si>
  <si>
    <t>IC-00257</t>
  </si>
  <si>
    <t>IC-00258</t>
  </si>
  <si>
    <t>IC-00259</t>
  </si>
  <si>
    <t>IC-00260</t>
  </si>
  <si>
    <t>IC-00261</t>
  </si>
  <si>
    <t>IC-00262</t>
  </si>
  <si>
    <t>IC-00263</t>
  </si>
  <si>
    <t>IC-00264</t>
  </si>
  <si>
    <t>IC-00265</t>
  </si>
  <si>
    <t>IC-00266</t>
  </si>
  <si>
    <t>IC-00267</t>
  </si>
  <si>
    <t>IC-00268</t>
  </si>
  <si>
    <t>IC-00269</t>
  </si>
  <si>
    <t>IC-00270</t>
  </si>
  <si>
    <t>IC-00271</t>
  </si>
  <si>
    <t>IC-00272</t>
  </si>
  <si>
    <t>IC-00273</t>
  </si>
  <si>
    <t>IC-00274</t>
  </si>
  <si>
    <t>IC-00275</t>
  </si>
  <si>
    <t>IC-00276</t>
  </si>
  <si>
    <t>IC-00277</t>
  </si>
  <si>
    <t>IC-00278</t>
  </si>
  <si>
    <t>IC-00279</t>
  </si>
  <si>
    <t>IC-00280</t>
  </si>
  <si>
    <t>IC-00281</t>
  </si>
  <si>
    <t>IC-00282</t>
  </si>
  <si>
    <t>IC-00283</t>
  </si>
  <si>
    <t>IC-00284</t>
  </si>
  <si>
    <t>IC-00285</t>
  </si>
  <si>
    <t>IC-00286</t>
  </si>
  <si>
    <t>IC-00287</t>
  </si>
  <si>
    <t>IC-00288</t>
  </si>
  <si>
    <t>IC-00289</t>
  </si>
  <si>
    <t>IC-00290</t>
  </si>
  <si>
    <t>IC-00291</t>
  </si>
  <si>
    <t>IC-00292</t>
  </si>
  <si>
    <t>IC-00293</t>
  </si>
  <si>
    <t>IC-00294</t>
  </si>
  <si>
    <t>IC-00295</t>
  </si>
  <si>
    <t>IC-00296</t>
  </si>
  <si>
    <t>IC-00297</t>
  </si>
  <si>
    <t>IC-00298</t>
  </si>
  <si>
    <t>IC-00299</t>
  </si>
  <si>
    <t>IC-00300</t>
  </si>
  <si>
    <t>IC-00301</t>
  </si>
  <si>
    <t>IC-00302</t>
  </si>
  <si>
    <t>IC-00303</t>
  </si>
  <si>
    <t>IC-00304</t>
  </si>
  <si>
    <t>IC-00305</t>
  </si>
  <si>
    <t>IC-00306</t>
  </si>
  <si>
    <t>IC-00307</t>
  </si>
  <si>
    <t>IC-00308</t>
  </si>
  <si>
    <t>IC-00309</t>
  </si>
  <si>
    <t>IC-00310</t>
  </si>
  <si>
    <t>IC-00311</t>
  </si>
  <si>
    <t>IC-00312</t>
  </si>
  <si>
    <t>IC-00313</t>
  </si>
  <si>
    <t>IC-00314</t>
  </si>
  <si>
    <t>IC-00315</t>
  </si>
  <si>
    <t>IC-00316</t>
  </si>
  <si>
    <t>IC-00317</t>
  </si>
  <si>
    <t>IC-00318</t>
  </si>
  <si>
    <t>IC-00319</t>
  </si>
  <si>
    <t>IC-00320</t>
  </si>
  <si>
    <t>IC-00321</t>
  </si>
  <si>
    <t>IC-00322</t>
  </si>
  <si>
    <t>IC-00323</t>
  </si>
  <si>
    <t>IC-00324</t>
  </si>
  <si>
    <t>IC-00325</t>
  </si>
  <si>
    <t>IC-00326</t>
  </si>
  <si>
    <t>IC-00327</t>
  </si>
  <si>
    <t>IC-00328</t>
  </si>
  <si>
    <t>IC-00329</t>
  </si>
  <si>
    <t>IC-00330</t>
  </si>
  <si>
    <t>IC-00331</t>
  </si>
  <si>
    <t>IC-00332</t>
  </si>
  <si>
    <t>IC-00333</t>
  </si>
  <si>
    <t>IC-00334</t>
  </si>
  <si>
    <t>IC-00335</t>
  </si>
  <si>
    <t>IC-00336</t>
  </si>
  <si>
    <t>IC-00337</t>
  </si>
  <si>
    <t>IC-00338</t>
  </si>
  <si>
    <t>IC-00339</t>
  </si>
  <si>
    <t>IC-00340</t>
  </si>
  <si>
    <t>IC-00341</t>
  </si>
  <si>
    <t>IC-00342</t>
  </si>
  <si>
    <t>IC-00343</t>
  </si>
  <si>
    <t>IC-00344</t>
  </si>
  <si>
    <t>IC-00345</t>
  </si>
  <si>
    <t>IC-00346</t>
  </si>
  <si>
    <t>IC-00347</t>
  </si>
  <si>
    <t>IC-00348</t>
  </si>
  <si>
    <t>IC-00349</t>
  </si>
  <si>
    <t>IC-00350</t>
  </si>
  <si>
    <t>IC-00351</t>
  </si>
  <si>
    <t>IC-00352</t>
  </si>
  <si>
    <t>IC-00353</t>
  </si>
  <si>
    <t>IC-00354</t>
  </si>
  <si>
    <t>IC-00355</t>
  </si>
  <si>
    <t>IC-00356</t>
  </si>
  <si>
    <t>IC-00357</t>
  </si>
  <si>
    <t>IC-00358</t>
  </si>
  <si>
    <t>IC-00359</t>
  </si>
  <si>
    <t>IC-00360</t>
  </si>
  <si>
    <t>IC-00361</t>
  </si>
  <si>
    <t>IC-00362</t>
  </si>
  <si>
    <t>IC-00363</t>
  </si>
  <si>
    <t>IC-00364</t>
  </si>
  <si>
    <t>IC-00365</t>
  </si>
  <si>
    <t>IC-00366</t>
  </si>
  <si>
    <t>IC-00367</t>
  </si>
  <si>
    <t>IC-00368</t>
  </si>
  <si>
    <t>IC-00369</t>
  </si>
  <si>
    <t>IC-00370</t>
  </si>
  <si>
    <t>IC-00371</t>
  </si>
  <si>
    <t>IC-00372</t>
  </si>
  <si>
    <t>IC-00373</t>
  </si>
  <si>
    <t>IC-00374</t>
  </si>
  <si>
    <t>IC-00375</t>
  </si>
  <si>
    <t>IC-00376</t>
  </si>
  <si>
    <t>IC-00377</t>
  </si>
  <si>
    <t>IC-00378</t>
  </si>
  <si>
    <t>IC-00379</t>
  </si>
  <si>
    <t>IC-00380</t>
  </si>
  <si>
    <t>IC-00381</t>
  </si>
  <si>
    <t>IC-00382</t>
  </si>
  <si>
    <t>IC-00383</t>
  </si>
  <si>
    <t>IC-00384</t>
  </si>
  <si>
    <t>IC-00385</t>
  </si>
  <si>
    <t>IC-00386</t>
  </si>
  <si>
    <t>IC-00387</t>
  </si>
  <si>
    <t>IC-00388</t>
  </si>
  <si>
    <t>IC-00389</t>
  </si>
  <si>
    <t>IC-00390</t>
  </si>
  <si>
    <t>IC-00391</t>
  </si>
  <si>
    <t>IC-00392</t>
  </si>
  <si>
    <t>IC-00393</t>
  </si>
  <si>
    <t>IC-00394</t>
  </si>
  <si>
    <t>IC-00395</t>
  </si>
  <si>
    <t>IC-00396</t>
  </si>
  <si>
    <t>IC-00397</t>
  </si>
  <si>
    <t>IC-00398</t>
  </si>
  <si>
    <t>IC-00399</t>
  </si>
  <si>
    <t>IC-00400</t>
  </si>
  <si>
    <t>IC-00401</t>
  </si>
  <si>
    <t>IC-00402</t>
  </si>
  <si>
    <t>IC-00403</t>
  </si>
  <si>
    <t>IC-00404</t>
  </si>
  <si>
    <t>IC-00405</t>
  </si>
  <si>
    <t>IC-00406</t>
  </si>
  <si>
    <t>IC-00407</t>
  </si>
  <si>
    <t>IC-00408</t>
  </si>
  <si>
    <t>IC-00409</t>
  </si>
  <si>
    <t>IC-00410</t>
  </si>
  <si>
    <t>IC-00411</t>
  </si>
  <si>
    <t>IC-00412</t>
  </si>
  <si>
    <t>IC-00413</t>
  </si>
  <si>
    <t>IC-00414</t>
  </si>
  <si>
    <t>IC-00415</t>
  </si>
  <si>
    <t>IC-00416</t>
  </si>
  <si>
    <t>IC-00417</t>
  </si>
  <si>
    <t>IC-00418</t>
  </si>
  <si>
    <t>IC-00419</t>
  </si>
  <si>
    <t>IC-00420</t>
  </si>
  <si>
    <t>IC-00421</t>
  </si>
  <si>
    <t>IC-00422</t>
  </si>
  <si>
    <t>IC-00423</t>
  </si>
  <si>
    <t>IC-00424</t>
  </si>
  <si>
    <t>IC-00425</t>
  </si>
  <si>
    <t>IC-00426</t>
  </si>
  <si>
    <t>IC-00427</t>
  </si>
  <si>
    <t>IC-00428</t>
  </si>
  <si>
    <t>IC-00429</t>
  </si>
  <si>
    <t>IC-00430</t>
  </si>
  <si>
    <t>IC-00431</t>
  </si>
  <si>
    <t>IC-00432</t>
  </si>
  <si>
    <t>IC-00433</t>
  </si>
  <si>
    <t>IC-00434</t>
  </si>
  <si>
    <t>IC-00435</t>
  </si>
  <si>
    <t>IC-00436</t>
  </si>
  <si>
    <t>IC-00437</t>
  </si>
  <si>
    <t>IC-00438</t>
  </si>
  <si>
    <t>IC-00439</t>
  </si>
  <si>
    <t>IC-00440</t>
  </si>
  <si>
    <t>IC-00441</t>
  </si>
  <si>
    <t>IC-00442</t>
  </si>
  <si>
    <t>IC-00443</t>
  </si>
  <si>
    <t>IC-00444</t>
  </si>
  <si>
    <t>IC-00445</t>
  </si>
  <si>
    <t>IC-00446</t>
  </si>
  <si>
    <t>IC-00447</t>
  </si>
  <si>
    <t>IC-00448</t>
  </si>
  <si>
    <t>IC-00449</t>
  </si>
  <si>
    <t>IC-00450</t>
  </si>
  <si>
    <t>IC-00451</t>
  </si>
  <si>
    <t>IC-00452</t>
  </si>
  <si>
    <t>IC-00453</t>
  </si>
  <si>
    <t>IC-00454</t>
  </si>
  <si>
    <t>IC-00455</t>
  </si>
  <si>
    <t>IC-00456</t>
  </si>
  <si>
    <t>IC-00457</t>
  </si>
  <si>
    <t>IC-00458</t>
  </si>
  <si>
    <t>IC-00459</t>
  </si>
  <si>
    <t>IC-00460</t>
  </si>
  <si>
    <t>IC-00461</t>
  </si>
  <si>
    <t>IC-00462</t>
  </si>
  <si>
    <t>IC-00463</t>
  </si>
  <si>
    <t>IC-00464</t>
  </si>
  <si>
    <t>IC-00465</t>
  </si>
  <si>
    <t>IC-00466</t>
  </si>
  <si>
    <t>IC-00467</t>
  </si>
  <si>
    <t>IC-00468</t>
  </si>
  <si>
    <t>IC-00469</t>
  </si>
  <si>
    <t>IC-00470</t>
  </si>
  <si>
    <t>IC-00471</t>
  </si>
  <si>
    <t>IC-00472</t>
  </si>
  <si>
    <t>IC-00473</t>
  </si>
  <si>
    <t>IC-00474</t>
  </si>
  <si>
    <t>IC-00475</t>
  </si>
  <si>
    <t>IC-00476</t>
  </si>
  <si>
    <t>IC-00477</t>
  </si>
  <si>
    <t>IC-00478</t>
  </si>
  <si>
    <t>IC-00479</t>
  </si>
  <si>
    <t>IC-00480</t>
  </si>
  <si>
    <t>IC-00481</t>
  </si>
  <si>
    <t>IC-00482</t>
  </si>
  <si>
    <t>IC-00483</t>
  </si>
  <si>
    <t>IC-00484</t>
  </si>
  <si>
    <t>IC-00485</t>
  </si>
  <si>
    <t>IC-00486</t>
  </si>
  <si>
    <t>IC-00487</t>
  </si>
  <si>
    <t>IC-00488</t>
  </si>
  <si>
    <t>IC-00489</t>
  </si>
  <si>
    <t>IC-00490</t>
  </si>
  <si>
    <t>IC-00491</t>
  </si>
  <si>
    <t>IC-00492</t>
  </si>
  <si>
    <t>IC-00493</t>
  </si>
  <si>
    <t>IC-00494</t>
  </si>
  <si>
    <t>IC-00495</t>
  </si>
  <si>
    <t>IC-00496</t>
  </si>
  <si>
    <t>IC-00497</t>
  </si>
  <si>
    <t>IC-00498</t>
  </si>
  <si>
    <t>IC-00499</t>
  </si>
  <si>
    <t>IC-00500</t>
  </si>
  <si>
    <t>IC-00501</t>
  </si>
  <si>
    <t>IC-00502</t>
  </si>
  <si>
    <t>IC-00503</t>
  </si>
  <si>
    <t>IC-00504</t>
  </si>
  <si>
    <t>IC-00505</t>
  </si>
  <si>
    <t>IC-00506</t>
  </si>
  <si>
    <t>IC-00507</t>
  </si>
  <si>
    <t>IC-00508</t>
  </si>
  <si>
    <t>IC-00509</t>
  </si>
  <si>
    <t>IC-00510</t>
  </si>
  <si>
    <t>IC-00511</t>
  </si>
  <si>
    <t>IC-00512</t>
  </si>
  <si>
    <t>IC-00513</t>
  </si>
  <si>
    <t>IC-00514</t>
  </si>
  <si>
    <t>IC-00515</t>
  </si>
  <si>
    <t>IC-00516</t>
  </si>
  <si>
    <t>IC-00517</t>
  </si>
  <si>
    <t>IC-00518</t>
  </si>
  <si>
    <t>IC-00519</t>
  </si>
  <si>
    <t>IC-00520</t>
  </si>
  <si>
    <t>IC-00521</t>
  </si>
  <si>
    <t>IC-00522</t>
  </si>
  <si>
    <t>IC-00523</t>
  </si>
  <si>
    <t>IC-00524</t>
  </si>
  <si>
    <t>IC-00525</t>
  </si>
  <si>
    <t>IC-00526</t>
  </si>
  <si>
    <t>IC-00527</t>
  </si>
  <si>
    <t>IC-00528</t>
  </si>
  <si>
    <t>IC-00529</t>
  </si>
  <si>
    <t>IC-00530</t>
  </si>
  <si>
    <t>IC-00531</t>
  </si>
  <si>
    <t>IC-00532</t>
  </si>
  <si>
    <t>IC-00533</t>
  </si>
  <si>
    <t>IC-00534</t>
  </si>
  <si>
    <t>IC-00535</t>
  </si>
  <si>
    <t>IC-00536</t>
  </si>
  <si>
    <t>IC-00537</t>
  </si>
  <si>
    <t>IC-00538</t>
  </si>
  <si>
    <t>IC-00539</t>
  </si>
  <si>
    <t>IC-00540</t>
  </si>
  <si>
    <t>IC-00541</t>
  </si>
  <si>
    <t>IC-00542</t>
  </si>
  <si>
    <t>IC-00543</t>
  </si>
  <si>
    <t>IC-00544</t>
  </si>
  <si>
    <t>IC-00545</t>
  </si>
  <si>
    <t>IC-00546</t>
  </si>
  <si>
    <t>IC-00547</t>
  </si>
  <si>
    <t>IC-00548</t>
  </si>
  <si>
    <t>IC-00549</t>
  </si>
  <si>
    <t>IC-00550</t>
  </si>
  <si>
    <t>IC-00551</t>
  </si>
  <si>
    <t>IC-00552</t>
  </si>
  <si>
    <t>IC-00553</t>
  </si>
  <si>
    <t>IC-00554</t>
  </si>
  <si>
    <t>IC-00555</t>
  </si>
  <si>
    <t>IC-00556</t>
  </si>
  <si>
    <t>IC-00557</t>
  </si>
  <si>
    <t>IC-00558</t>
  </si>
  <si>
    <t>IC-00559</t>
  </si>
  <si>
    <t>IC-00560</t>
  </si>
  <si>
    <t>IC-00561</t>
  </si>
  <si>
    <t>IC-00562</t>
  </si>
  <si>
    <t>IC-00563</t>
  </si>
  <si>
    <t>IC-00564</t>
  </si>
  <si>
    <t>IC-00565</t>
  </si>
  <si>
    <t>IC-00566</t>
  </si>
  <si>
    <t>IC-00567</t>
  </si>
  <si>
    <t>IC-00568</t>
  </si>
  <si>
    <t>IC-00569</t>
  </si>
  <si>
    <t>IC-00570</t>
  </si>
  <si>
    <t>IC-00571</t>
  </si>
  <si>
    <t>IC-00572</t>
  </si>
  <si>
    <t>IC-00573</t>
  </si>
  <si>
    <t>IC-00574</t>
  </si>
  <si>
    <t>IC-00575</t>
  </si>
  <si>
    <t>IC-00576</t>
  </si>
  <si>
    <t>IC-00577</t>
  </si>
  <si>
    <t>IC-00578</t>
  </si>
  <si>
    <t>IC-00579</t>
  </si>
  <si>
    <t>IC-00580</t>
  </si>
  <si>
    <t>IC-00581</t>
  </si>
  <si>
    <t>IC-00582</t>
  </si>
  <si>
    <t>IC-00583</t>
  </si>
  <si>
    <t>IC-00584</t>
  </si>
  <si>
    <t>IC-00585</t>
  </si>
  <si>
    <t>IC-00586</t>
  </si>
  <si>
    <t>IC-00587</t>
  </si>
  <si>
    <t>IC-00588</t>
  </si>
  <si>
    <t>IC-00589</t>
  </si>
  <si>
    <t>IC-00590</t>
  </si>
  <si>
    <t>IC-00591</t>
  </si>
  <si>
    <t>IC-00592</t>
  </si>
  <si>
    <t>IC-00593</t>
  </si>
  <si>
    <t>IC-00594</t>
  </si>
  <si>
    <t>IC-00595</t>
  </si>
  <si>
    <t>IC-00596</t>
  </si>
  <si>
    <t>IC-00597</t>
  </si>
  <si>
    <t>IC-00598</t>
  </si>
  <si>
    <t>IC-00599</t>
  </si>
  <si>
    <t>IC-00600</t>
  </si>
  <si>
    <t>IC-00601</t>
  </si>
  <si>
    <t>IC-00602</t>
  </si>
  <si>
    <t>IC-00603</t>
  </si>
  <si>
    <t>IC-00604</t>
  </si>
  <si>
    <t>IC-00605</t>
  </si>
  <si>
    <t>IC-00606</t>
  </si>
  <si>
    <t>IC-00607</t>
  </si>
  <si>
    <t>IC-00608</t>
  </si>
  <si>
    <t>IC-00609</t>
  </si>
  <si>
    <t>IC-00610</t>
  </si>
  <si>
    <t>IC-00611</t>
  </si>
  <si>
    <t>IC-00612</t>
  </si>
  <si>
    <t>IC-00613</t>
  </si>
  <si>
    <t>IC-00614</t>
  </si>
  <si>
    <t>IC-00615</t>
  </si>
  <si>
    <t>IC-00616</t>
  </si>
  <si>
    <t>IC-00617</t>
  </si>
  <si>
    <t>IC-00618</t>
  </si>
  <si>
    <t>IC-00619</t>
  </si>
  <si>
    <t>IC-00620</t>
  </si>
  <si>
    <t>IC-00621</t>
  </si>
  <si>
    <t>IC-00622</t>
  </si>
  <si>
    <t>IC-00623</t>
  </si>
  <si>
    <t>IC-00624</t>
  </si>
  <si>
    <t>IC-00625</t>
  </si>
  <si>
    <t>IC-00626</t>
  </si>
  <si>
    <t>IC-00627</t>
  </si>
  <si>
    <t>IC-00628</t>
  </si>
  <si>
    <t>IC-00629</t>
  </si>
  <si>
    <t>IC-00630</t>
  </si>
  <si>
    <t>IC-00631</t>
  </si>
  <si>
    <t>IC-00632</t>
  </si>
  <si>
    <t>IC-00633</t>
  </si>
  <si>
    <t>IC-00634</t>
  </si>
  <si>
    <t>IC-00635</t>
  </si>
  <si>
    <t>IC-00636</t>
  </si>
  <si>
    <t>IC-00637</t>
  </si>
  <si>
    <t>IC-00638</t>
  </si>
  <si>
    <t>IC-00639</t>
  </si>
  <si>
    <t>IC-00640</t>
  </si>
  <si>
    <t>IC-00641</t>
  </si>
  <si>
    <t>IC-00642</t>
  </si>
  <si>
    <t>IC-00643</t>
  </si>
  <si>
    <t>IC-00644</t>
  </si>
  <si>
    <t>IC-00645</t>
  </si>
  <si>
    <t>IC-00646</t>
  </si>
  <si>
    <t>IC-00647</t>
  </si>
  <si>
    <t>IC-00648</t>
  </si>
  <si>
    <t>IC-00649</t>
  </si>
  <si>
    <t>IC-00650</t>
  </si>
  <si>
    <t>IC-00651</t>
  </si>
  <si>
    <t>IC-00652</t>
  </si>
  <si>
    <t>IC-00653</t>
  </si>
  <si>
    <t>IC-00654</t>
  </si>
  <si>
    <t>IC-00655</t>
  </si>
  <si>
    <t>IC-00656</t>
  </si>
  <si>
    <t>IC-00657</t>
  </si>
  <si>
    <t>IC-00658</t>
  </si>
  <si>
    <t>IC-00659</t>
  </si>
  <si>
    <t>IC-00660</t>
  </si>
  <si>
    <t>IC-00661</t>
  </si>
  <si>
    <t>IC-00662</t>
  </si>
  <si>
    <t>IC-00663</t>
  </si>
  <si>
    <t>IC-00664</t>
  </si>
  <si>
    <t>IC-00665</t>
  </si>
  <si>
    <t>IC-00666</t>
  </si>
  <si>
    <t>IC-00667</t>
  </si>
  <si>
    <t>IC-00668</t>
  </si>
  <si>
    <t>IC-00669</t>
  </si>
  <si>
    <t>IC-00670</t>
  </si>
  <si>
    <t>IC-00671</t>
  </si>
  <si>
    <t>IC-00672</t>
  </si>
  <si>
    <t>IC-00673</t>
  </si>
  <si>
    <t>IC-00674</t>
  </si>
  <si>
    <t>IC-00675</t>
  </si>
  <si>
    <t>IC-00676</t>
  </si>
  <si>
    <t>IC-00677</t>
  </si>
  <si>
    <t>IC-00678</t>
  </si>
  <si>
    <t>IC-00679</t>
  </si>
  <si>
    <t>IC-00680</t>
  </si>
  <si>
    <t>IC-00681</t>
  </si>
  <si>
    <t>IC-00682</t>
  </si>
  <si>
    <t>IC-00683</t>
  </si>
  <si>
    <t>IC-00684</t>
  </si>
  <si>
    <t>IC-00685</t>
  </si>
  <si>
    <t>IC-00686</t>
  </si>
  <si>
    <t>IC-00687</t>
  </si>
  <si>
    <t>IC-00688</t>
  </si>
  <si>
    <t>IC-00689</t>
  </si>
  <si>
    <t>IC-00690</t>
  </si>
  <si>
    <t>IC-00691</t>
  </si>
  <si>
    <t>IC-00692</t>
  </si>
  <si>
    <t>IC-00693</t>
  </si>
  <si>
    <t>IC-00694</t>
  </si>
  <si>
    <t>IC-00695</t>
  </si>
  <si>
    <t>IC-00696</t>
  </si>
  <si>
    <t>IC-00697</t>
  </si>
  <si>
    <t>IC-00698</t>
  </si>
  <si>
    <t>IC-00699</t>
  </si>
  <si>
    <t>OPAMP,ELECTROMETER</t>
  </si>
  <si>
    <t>OPAMP,DUAL GENERAL PURPOSE</t>
  </si>
  <si>
    <t>LOGIC,QUAD NAND SCHMITTTRIGGER</t>
  </si>
  <si>
    <t>LOGIC,FIFO</t>
  </si>
  <si>
    <t>RF,MMIC,POWER SPLITTER</t>
  </si>
  <si>
    <t>RF,PRESCALER</t>
  </si>
  <si>
    <t>HEWLETT-PACKARD REPAIR PARTS</t>
  </si>
  <si>
    <t>MODULE,ADJUSTABLE REGULATOR</t>
  </si>
  <si>
    <t>DAC,8-BIT,SPI</t>
  </si>
  <si>
    <t>ADC,16-BIT,4-CH,I2C</t>
  </si>
  <si>
    <t>DAC,12-BIT,SPI</t>
  </si>
  <si>
    <t>ADC,12-BIT,8CH,SPI</t>
  </si>
  <si>
    <t>LOGIC,QUAD NAND</t>
  </si>
  <si>
    <t>LOIGC,HEX NOT</t>
  </si>
  <si>
    <t>LOGIC,HEX SCHMITT-NOT</t>
  </si>
  <si>
    <t>TIMER</t>
  </si>
  <si>
    <t>XCVR,RS232</t>
  </si>
  <si>
    <t>REGULATOR,LINEAR</t>
  </si>
  <si>
    <t>LOGIC,TRIPLE AND3</t>
  </si>
  <si>
    <t>LOGIC,QUAD NAND2 OC</t>
  </si>
  <si>
    <t>LOGIC,QUAD NOR2</t>
  </si>
  <si>
    <t>LOGIC,QUAD NAND2</t>
  </si>
  <si>
    <t>MEMORY,EPROM,PARALLEL</t>
  </si>
  <si>
    <t>TIMER,DUAL</t>
  </si>
  <si>
    <t>MEMORY,SRAM</t>
  </si>
  <si>
    <t>COMPARATOR,QUAD</t>
  </si>
  <si>
    <t>ADC,4-1/2 DIGIT</t>
  </si>
  <si>
    <t>ADC,3-1/2 DIGIT,LED</t>
  </si>
  <si>
    <t>ADC,3-1/2 DIGIT,LCD</t>
  </si>
  <si>
    <t>SIGNETICS</t>
  </si>
  <si>
    <t>BURR-BROWN</t>
  </si>
  <si>
    <t>ESPRESSIF</t>
  </si>
  <si>
    <t>AMD</t>
  </si>
  <si>
    <t>SHIELDED</t>
  </si>
  <si>
    <t>22uH</t>
  </si>
  <si>
    <t>1.45A</t>
  </si>
  <si>
    <t>SHUN XIANG</t>
  </si>
  <si>
    <t>C266430</t>
  </si>
  <si>
    <t>COILCRAFT</t>
  </si>
  <si>
    <t>SRN4026-4R7MCT-ND</t>
  </si>
  <si>
    <t>1.4A</t>
  </si>
  <si>
    <t>1u5</t>
  </si>
  <si>
    <t>LCD,128X32</t>
  </si>
  <si>
    <t>LED,BARGRAPH</t>
  </si>
  <si>
    <t>SUPERRED</t>
  </si>
  <si>
    <t>YELOW</t>
  </si>
  <si>
    <t>AVAGO</t>
  </si>
  <si>
    <t>NATIONSTAR</t>
  </si>
  <si>
    <t>PHOTODIODE</t>
  </si>
  <si>
    <t>HARVATEK</t>
  </si>
  <si>
    <t>LEDTECH</t>
  </si>
  <si>
    <t>BLUE/WHITE</t>
  </si>
  <si>
    <t>LS-Q976-NR-1</t>
  </si>
  <si>
    <t>LITE-ON</t>
  </si>
  <si>
    <t>OLED 128X32,I2C</t>
  </si>
  <si>
    <t>LCD,16X2,TRANSFL</t>
  </si>
  <si>
    <t>WHITE/BLACK</t>
  </si>
  <si>
    <t>LED,7-SEG,1-1/2 DIGIT</t>
  </si>
  <si>
    <t>LED,7-SEG,MULTIPLEX,3 DIGIT</t>
  </si>
  <si>
    <t>LCD,NOKIA-511</t>
  </si>
  <si>
    <t>MONOCHROME</t>
  </si>
  <si>
    <t>DISPLAY</t>
  </si>
  <si>
    <t>PLCC-4</t>
  </si>
  <si>
    <t>PLCC-6</t>
  </si>
  <si>
    <t>WURTH</t>
  </si>
  <si>
    <t>DIP-8</t>
  </si>
  <si>
    <t>OPTOISOLATOR</t>
  </si>
  <si>
    <t>CURRENT</t>
  </si>
  <si>
    <t>XSTR-00001</t>
  </si>
  <si>
    <t>XSTR-00002</t>
  </si>
  <si>
    <t>XSTR-00003</t>
  </si>
  <si>
    <t>XSTR-00004</t>
  </si>
  <si>
    <t>XSTR-00005</t>
  </si>
  <si>
    <t>XSTR-00006</t>
  </si>
  <si>
    <t>XSTR-00007</t>
  </si>
  <si>
    <t>XSTR-00008</t>
  </si>
  <si>
    <t>XSTR-00009</t>
  </si>
  <si>
    <t>XSTR-00010</t>
  </si>
  <si>
    <t>XSTR-00011</t>
  </si>
  <si>
    <t>XSTR-00012</t>
  </si>
  <si>
    <t>XSTR-00013</t>
  </si>
  <si>
    <t>XSTR-00014</t>
  </si>
  <si>
    <t>XSTR-00015</t>
  </si>
  <si>
    <t>XSTR-00016</t>
  </si>
  <si>
    <t>XSTR-00017</t>
  </si>
  <si>
    <t>XSTR-00018</t>
  </si>
  <si>
    <t>XSTR-00019</t>
  </si>
  <si>
    <t>XSTR-00020</t>
  </si>
  <si>
    <t>XSTR-00021</t>
  </si>
  <si>
    <t>XSTR-00022</t>
  </si>
  <si>
    <t>XSTR-00023</t>
  </si>
  <si>
    <t>XSTR-00024</t>
  </si>
  <si>
    <t>XSTR-00025</t>
  </si>
  <si>
    <t>XSTR-00026</t>
  </si>
  <si>
    <t>XSTR-00027</t>
  </si>
  <si>
    <t>XSTR-00028</t>
  </si>
  <si>
    <t>XSTR-00029</t>
  </si>
  <si>
    <t>XSTR-00030</t>
  </si>
  <si>
    <t>XSTR-00031</t>
  </si>
  <si>
    <t>XSTR-00032</t>
  </si>
  <si>
    <t>XSTR-00033</t>
  </si>
  <si>
    <t>XSTR-00034</t>
  </si>
  <si>
    <t>XSTR-00035</t>
  </si>
  <si>
    <t>XSTR-00036</t>
  </si>
  <si>
    <t>XSTR-00037</t>
  </si>
  <si>
    <t>XSTR-00038</t>
  </si>
  <si>
    <t>XSTR-00039</t>
  </si>
  <si>
    <t>XSTR-00040</t>
  </si>
  <si>
    <t>XSTR-00041</t>
  </si>
  <si>
    <t>XSTR-00042</t>
  </si>
  <si>
    <t>XSTR-00043</t>
  </si>
  <si>
    <t>XSTR-00044</t>
  </si>
  <si>
    <t>XSTR-00045</t>
  </si>
  <si>
    <t>XSTR-00046</t>
  </si>
  <si>
    <t>XSTR-00047</t>
  </si>
  <si>
    <t>XSTR-00048</t>
  </si>
  <si>
    <t>XSTR-00049</t>
  </si>
  <si>
    <t>XSTR-00050</t>
  </si>
  <si>
    <t>XSTR-00051</t>
  </si>
  <si>
    <t>XSTR-00052</t>
  </si>
  <si>
    <t>XSTR-00053</t>
  </si>
  <si>
    <t>XSTR-00054</t>
  </si>
  <si>
    <t>XSTR-00055</t>
  </si>
  <si>
    <t>XSTR-00056</t>
  </si>
  <si>
    <t>XSTR-00057</t>
  </si>
  <si>
    <t>XSTR-00058</t>
  </si>
  <si>
    <t>XSTR-00059</t>
  </si>
  <si>
    <t>XSTR-00060</t>
  </si>
  <si>
    <t>XSTR-00061</t>
  </si>
  <si>
    <t>XSTR-00062</t>
  </si>
  <si>
    <t>XSTR-00063</t>
  </si>
  <si>
    <t>XSTR-00064</t>
  </si>
  <si>
    <t>XSTR-00065</t>
  </si>
  <si>
    <t>XSTR-00066</t>
  </si>
  <si>
    <t>XSTR-00067</t>
  </si>
  <si>
    <t>XSTR-00068</t>
  </si>
  <si>
    <t>XSTR-00069</t>
  </si>
  <si>
    <t>XSTR-00070</t>
  </si>
  <si>
    <t>XSTR-00071</t>
  </si>
  <si>
    <t>XSTR-00072</t>
  </si>
  <si>
    <t>XSTR-00073</t>
  </si>
  <si>
    <t>XSTR-00074</t>
  </si>
  <si>
    <t>XSTR-00075</t>
  </si>
  <si>
    <t>XSTR-00076</t>
  </si>
  <si>
    <t>XSTR-00077</t>
  </si>
  <si>
    <t>XSTR-00078</t>
  </si>
  <si>
    <t>XSTR-00079</t>
  </si>
  <si>
    <t>XSTR-00080</t>
  </si>
  <si>
    <t>XSTR-00082</t>
  </si>
  <si>
    <t>XSTR-00083</t>
  </si>
  <si>
    <t>XSTR-00084</t>
  </si>
  <si>
    <t>XSTR-00085</t>
  </si>
  <si>
    <t>XSTR-00086</t>
  </si>
  <si>
    <t>XSTR-00087</t>
  </si>
  <si>
    <t>XSTR-00088</t>
  </si>
  <si>
    <t>XSTR-00089</t>
  </si>
  <si>
    <t>XSTR-00090</t>
  </si>
  <si>
    <t>XSTR-00091</t>
  </si>
  <si>
    <t>XSTR-00092</t>
  </si>
  <si>
    <t>XSTR-00093</t>
  </si>
  <si>
    <t>XSTR-00094</t>
  </si>
  <si>
    <t>XSTR-00095</t>
  </si>
  <si>
    <t>XSTR-00096</t>
  </si>
  <si>
    <t>XSTR-00097</t>
  </si>
  <si>
    <t>XSTR-00098</t>
  </si>
  <si>
    <t>XSTR-00099</t>
  </si>
  <si>
    <t>XSTR-00100</t>
  </si>
  <si>
    <t>XSTR-00101</t>
  </si>
  <si>
    <t>XSTR-00102</t>
  </si>
  <si>
    <t>XSTR-00103</t>
  </si>
  <si>
    <t>XSTR-00104</t>
  </si>
  <si>
    <t>XSTR-00105</t>
  </si>
  <si>
    <t>XSTR-00106</t>
  </si>
  <si>
    <t>XSTR-00107</t>
  </si>
  <si>
    <t>XSTR-00108</t>
  </si>
  <si>
    <t>XSTR-00109</t>
  </si>
  <si>
    <t>XSTR-00110</t>
  </si>
  <si>
    <t>XSTR-00111</t>
  </si>
  <si>
    <t>XSTR-00112</t>
  </si>
  <si>
    <t>XSTR-00113</t>
  </si>
  <si>
    <t>XSTR-00114</t>
  </si>
  <si>
    <t>XSTR-00115</t>
  </si>
  <si>
    <t>XSTR-00116</t>
  </si>
  <si>
    <t>XSTR-00117</t>
  </si>
  <si>
    <t>XSTR-00118</t>
  </si>
  <si>
    <t>XSTR-00119</t>
  </si>
  <si>
    <t>XSTR-00120</t>
  </si>
  <si>
    <t>XSTR-00121</t>
  </si>
  <si>
    <t>XSTR-00122</t>
  </si>
  <si>
    <t>XSTR-00123</t>
  </si>
  <si>
    <t>XSTR-00124</t>
  </si>
  <si>
    <t>XSTR-00125</t>
  </si>
  <si>
    <t>XSTR-00126</t>
  </si>
  <si>
    <t>N-CHAN JFET,DUAL</t>
  </si>
  <si>
    <t>NPN DIGITAL, DUAL</t>
  </si>
  <si>
    <t>NPN, DUAL</t>
  </si>
  <si>
    <t>PNP, DUAL</t>
  </si>
  <si>
    <t>N-CHAN, JFET</t>
  </si>
  <si>
    <t>P-CHAN, JFET</t>
  </si>
  <si>
    <t>PNP, DARLINGTON</t>
  </si>
  <si>
    <t>NPN, DARLINGTON</t>
  </si>
  <si>
    <t>A1</t>
  </si>
  <si>
    <t>PMOS</t>
  </si>
  <si>
    <t>NMOS</t>
  </si>
  <si>
    <t>REL-00001</t>
  </si>
  <si>
    <t>REL-00002</t>
  </si>
  <si>
    <t>REL-00003</t>
  </si>
  <si>
    <t>REL-00004</t>
  </si>
  <si>
    <t>REL-00005</t>
  </si>
  <si>
    <t>REL-00006</t>
  </si>
  <si>
    <t>REL-00007</t>
  </si>
  <si>
    <t>REL-00008</t>
  </si>
  <si>
    <t>REL-00009</t>
  </si>
  <si>
    <t>REL-00010</t>
  </si>
  <si>
    <t>REL-00011</t>
  </si>
  <si>
    <t>REL-00012</t>
  </si>
  <si>
    <t>REL-00013</t>
  </si>
  <si>
    <t>REL-00014</t>
  </si>
  <si>
    <t>REL-00015</t>
  </si>
  <si>
    <t>REL-00016</t>
  </si>
  <si>
    <t>REL-00017</t>
  </si>
  <si>
    <t>REL-00018</t>
  </si>
  <si>
    <t>REL-00019</t>
  </si>
  <si>
    <t>REL-00020</t>
  </si>
  <si>
    <t>REL-00021</t>
  </si>
  <si>
    <t>REL-00022</t>
  </si>
  <si>
    <t>REL-00023</t>
  </si>
  <si>
    <t>REL-00024</t>
  </si>
  <si>
    <t>REL-00025</t>
  </si>
  <si>
    <t>REL-00026</t>
  </si>
  <si>
    <t>REL-00027</t>
  </si>
  <si>
    <t>REL-00028</t>
  </si>
  <si>
    <t>REL-00029</t>
  </si>
  <si>
    <t>REL-00030</t>
  </si>
  <si>
    <t>COIL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</si>
</sst>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DIO-&quot;00000"/>
    <numFmt numFmtId="165" formatCode="&quot;RES-&quot;00000"/>
    <numFmt numFmtId="166" formatCode="&quot;MECH-&quot;00000"/>
    <numFmt numFmtId="169" formatCode="&quot;SW-&quot;00000"/>
    <numFmt numFmtId="170" formatCode="&quot;THERM-&quot;00000"/>
  </numFmts>
  <fonts count="7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2">
    <xf numFmtId="0" fontId="0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</cellStyleXfs>
  <cellXfs count="67">
    <xf numFmtId="0" fontId="0" fillId="0" borderId="0" xfId="0"/>
    <xf numFmtId="49" fontId="1" fillId="0" borderId="2" xfId="3" applyNumberFormat="1" applyFont="1" applyBorder="1" applyAlignment="1">
      <alignment horizontal="right" wrapText="1"/>
    </xf>
    <xf numFmtId="49" fontId="1" fillId="0" borderId="2" xfId="3" applyNumberFormat="1" applyFont="1" applyBorder="1" applyAlignment="1">
      <alignment wrapText="1"/>
    </xf>
    <xf numFmtId="49" fontId="0" fillId="0" borderId="0" xfId="0" applyNumberFormat="1"/>
    <xf numFmtId="49" fontId="1" fillId="0" borderId="2" xfId="1" applyNumberFormat="1" applyFont="1" applyBorder="1" applyAlignment="1">
      <alignment horizontal="right" wrapText="1"/>
    </xf>
    <xf numFmtId="49" fontId="1" fillId="0" borderId="2" xfId="1" applyNumberFormat="1" applyFont="1" applyBorder="1" applyAlignment="1">
      <alignment wrapText="1"/>
    </xf>
    <xf numFmtId="49" fontId="1" fillId="0" borderId="2" xfId="2" applyNumberFormat="1" applyFont="1" applyBorder="1" applyAlignment="1">
      <alignment horizontal="right" wrapText="1"/>
    </xf>
    <xf numFmtId="49" fontId="1" fillId="0" borderId="2" xfId="2" applyNumberFormat="1" applyFont="1" applyBorder="1" applyAlignment="1">
      <alignment wrapText="1"/>
    </xf>
    <xf numFmtId="164" fontId="4" fillId="0" borderId="2" xfId="6" applyNumberFormat="1" applyFont="1" applyBorder="1" applyAlignment="1">
      <alignment horizontal="right" wrapText="1"/>
    </xf>
    <xf numFmtId="0" fontId="4" fillId="0" borderId="2" xfId="6" applyFont="1" applyBorder="1" applyAlignment="1">
      <alignment wrapText="1"/>
    </xf>
    <xf numFmtId="165" fontId="4" fillId="0" borderId="2" xfId="11" applyNumberFormat="1" applyFont="1" applyBorder="1" applyAlignment="1">
      <alignment horizontal="right" wrapText="1"/>
    </xf>
    <xf numFmtId="0" fontId="4" fillId="0" borderId="2" xfId="11" applyFont="1" applyBorder="1" applyAlignment="1">
      <alignment wrapText="1"/>
    </xf>
    <xf numFmtId="0" fontId="4" fillId="2" borderId="1" xfId="13" applyFont="1" applyFill="1" applyBorder="1" applyAlignment="1">
      <alignment horizontal="center"/>
    </xf>
    <xf numFmtId="166" fontId="4" fillId="0" borderId="2" xfId="13" applyNumberFormat="1" applyFont="1" applyBorder="1" applyAlignment="1">
      <alignment horizontal="right" wrapText="1"/>
    </xf>
    <xf numFmtId="0" fontId="4" fillId="0" borderId="2" xfId="13" applyFont="1" applyBorder="1" applyAlignment="1">
      <alignment wrapText="1"/>
    </xf>
    <xf numFmtId="0" fontId="4" fillId="0" borderId="2" xfId="15" applyFont="1" applyBorder="1" applyAlignment="1">
      <alignment wrapText="1"/>
    </xf>
    <xf numFmtId="0" fontId="4" fillId="2" borderId="1" xfId="16" applyFont="1" applyFill="1" applyBorder="1" applyAlignment="1">
      <alignment horizontal="center"/>
    </xf>
    <xf numFmtId="165" fontId="4" fillId="0" borderId="2" xfId="16" applyNumberFormat="1" applyFont="1" applyBorder="1" applyAlignment="1">
      <alignment horizontal="right" wrapText="1"/>
    </xf>
    <xf numFmtId="0" fontId="4" fillId="0" borderId="2" xfId="16" applyFont="1" applyBorder="1" applyAlignment="1">
      <alignment wrapText="1"/>
    </xf>
    <xf numFmtId="0" fontId="4" fillId="2" borderId="1" xfId="17" applyFont="1" applyFill="1" applyBorder="1" applyAlignment="1">
      <alignment horizontal="center"/>
    </xf>
    <xf numFmtId="169" fontId="4" fillId="0" borderId="2" xfId="17" applyNumberFormat="1" applyFont="1" applyBorder="1" applyAlignment="1">
      <alignment horizontal="right" wrapText="1"/>
    </xf>
    <xf numFmtId="0" fontId="4" fillId="0" borderId="2" xfId="17" applyFont="1" applyBorder="1" applyAlignment="1">
      <alignment wrapText="1"/>
    </xf>
    <xf numFmtId="0" fontId="4" fillId="2" borderId="1" xfId="18" applyFont="1" applyFill="1" applyBorder="1" applyAlignment="1">
      <alignment horizontal="center"/>
    </xf>
    <xf numFmtId="170" fontId="4" fillId="0" borderId="2" xfId="18" applyNumberFormat="1" applyFont="1" applyBorder="1" applyAlignment="1">
      <alignment horizontal="right" wrapText="1"/>
    </xf>
    <xf numFmtId="0" fontId="4" fillId="0" borderId="2" xfId="18" applyFont="1" applyBorder="1" applyAlignment="1">
      <alignment wrapText="1"/>
    </xf>
    <xf numFmtId="49" fontId="6" fillId="3" borderId="0" xfId="20" applyNumberFormat="1"/>
    <xf numFmtId="0" fontId="6" fillId="4" borderId="1" xfId="21" applyBorder="1" applyAlignment="1">
      <alignment horizontal="center"/>
    </xf>
    <xf numFmtId="49" fontId="6" fillId="4" borderId="0" xfId="21" applyNumberFormat="1"/>
    <xf numFmtId="49" fontId="6" fillId="4" borderId="1" xfId="21" applyNumberFormat="1" applyBorder="1" applyAlignment="1">
      <alignment horizontal="center"/>
    </xf>
    <xf numFmtId="49" fontId="4" fillId="0" borderId="2" xfId="5" applyNumberFormat="1" applyFont="1" applyBorder="1" applyAlignment="1">
      <alignment horizontal="right" wrapText="1"/>
    </xf>
    <xf numFmtId="49" fontId="4" fillId="0" borderId="2" xfId="5" applyNumberFormat="1" applyFont="1" applyBorder="1" applyAlignment="1">
      <alignment wrapText="1"/>
    </xf>
    <xf numFmtId="0" fontId="6" fillId="4" borderId="1" xfId="21" applyNumberFormat="1" applyBorder="1" applyAlignment="1">
      <alignment horizontal="center"/>
    </xf>
    <xf numFmtId="0" fontId="4" fillId="0" borderId="2" xfId="5" applyFont="1" applyBorder="1" applyAlignment="1">
      <alignment wrapText="1"/>
    </xf>
    <xf numFmtId="49" fontId="0" fillId="4" borderId="1" xfId="21" applyNumberFormat="1" applyFont="1" applyBorder="1" applyAlignment="1">
      <alignment horizontal="center"/>
    </xf>
    <xf numFmtId="0" fontId="1" fillId="0" borderId="2" xfId="1" applyFont="1" applyBorder="1" applyAlignment="1">
      <alignment wrapText="1"/>
    </xf>
    <xf numFmtId="49" fontId="4" fillId="0" borderId="2" xfId="1" applyNumberFormat="1" applyFont="1" applyBorder="1" applyAlignment="1">
      <alignment wrapText="1"/>
    </xf>
    <xf numFmtId="0" fontId="1" fillId="0" borderId="2" xfId="2" applyFont="1" applyBorder="1" applyAlignment="1">
      <alignment wrapText="1"/>
    </xf>
    <xf numFmtId="49" fontId="4" fillId="0" borderId="2" xfId="2" applyNumberFormat="1" applyFont="1" applyBorder="1" applyAlignment="1">
      <alignment wrapText="1"/>
    </xf>
    <xf numFmtId="0" fontId="1" fillId="0" borderId="2" xfId="3" applyFont="1" applyBorder="1" applyAlignment="1">
      <alignment wrapText="1"/>
    </xf>
    <xf numFmtId="49" fontId="4" fillId="0" borderId="2" xfId="3" applyNumberFormat="1" applyFont="1" applyBorder="1" applyAlignment="1">
      <alignment wrapText="1"/>
    </xf>
    <xf numFmtId="49" fontId="4" fillId="0" borderId="2" xfId="4" applyNumberFormat="1" applyFont="1" applyBorder="1" applyAlignment="1">
      <alignment horizontal="right" wrapText="1"/>
    </xf>
    <xf numFmtId="49" fontId="4" fillId="0" borderId="2" xfId="4" applyNumberFormat="1" applyFont="1" applyBorder="1" applyAlignment="1">
      <alignment wrapText="1"/>
    </xf>
    <xf numFmtId="0" fontId="4" fillId="0" borderId="2" xfId="4" applyFont="1" applyBorder="1" applyAlignment="1">
      <alignment wrapText="1"/>
    </xf>
    <xf numFmtId="49" fontId="4" fillId="0" borderId="2" xfId="8" applyNumberFormat="1" applyFont="1" applyBorder="1" applyAlignment="1">
      <alignment horizontal="right" wrapText="1"/>
    </xf>
    <xf numFmtId="49" fontId="4" fillId="0" borderId="2" xfId="8" applyNumberFormat="1" applyFont="1" applyBorder="1" applyAlignment="1">
      <alignment wrapText="1"/>
    </xf>
    <xf numFmtId="0" fontId="4" fillId="0" borderId="2" xfId="8" applyFont="1" applyBorder="1" applyAlignment="1">
      <alignment wrapText="1"/>
    </xf>
    <xf numFmtId="49" fontId="4" fillId="0" borderId="2" xfId="7" applyNumberFormat="1" applyFont="1" applyBorder="1" applyAlignment="1">
      <alignment horizontal="right" wrapText="1"/>
    </xf>
    <xf numFmtId="49" fontId="4" fillId="0" borderId="2" xfId="7" applyNumberFormat="1" applyFont="1" applyBorder="1" applyAlignment="1">
      <alignment wrapText="1"/>
    </xf>
    <xf numFmtId="0" fontId="4" fillId="0" borderId="2" xfId="7" applyFont="1" applyBorder="1" applyAlignment="1">
      <alignment wrapText="1"/>
    </xf>
    <xf numFmtId="49" fontId="4" fillId="0" borderId="2" xfId="9" applyNumberFormat="1" applyFont="1" applyBorder="1" applyAlignment="1">
      <alignment horizontal="right" wrapText="1"/>
    </xf>
    <xf numFmtId="49" fontId="4" fillId="0" borderId="2" xfId="9" applyNumberFormat="1" applyFont="1" applyBorder="1" applyAlignment="1">
      <alignment wrapText="1"/>
    </xf>
    <xf numFmtId="0" fontId="4" fillId="0" borderId="2" xfId="9" applyFont="1" applyBorder="1" applyAlignment="1">
      <alignment wrapText="1"/>
    </xf>
    <xf numFmtId="49" fontId="4" fillId="0" borderId="2" xfId="10" applyNumberFormat="1" applyFont="1" applyBorder="1" applyAlignment="1">
      <alignment horizontal="right" wrapText="1"/>
    </xf>
    <xf numFmtId="49" fontId="4" fillId="0" borderId="2" xfId="10" applyNumberFormat="1" applyFont="1" applyBorder="1" applyAlignment="1">
      <alignment wrapText="1"/>
    </xf>
    <xf numFmtId="0" fontId="4" fillId="0" borderId="2" xfId="10" applyFont="1" applyBorder="1" applyAlignment="1">
      <alignment wrapText="1"/>
    </xf>
    <xf numFmtId="49" fontId="4" fillId="0" borderId="2" xfId="12" applyNumberFormat="1" applyFont="1" applyBorder="1" applyAlignment="1">
      <alignment horizontal="right" wrapText="1"/>
    </xf>
    <xf numFmtId="49" fontId="4" fillId="0" borderId="2" xfId="12" applyNumberFormat="1" applyFont="1" applyBorder="1" applyAlignment="1">
      <alignment wrapText="1"/>
    </xf>
    <xf numFmtId="0" fontId="4" fillId="0" borderId="2" xfId="12" applyFont="1" applyBorder="1" applyAlignment="1">
      <alignment wrapText="1"/>
    </xf>
    <xf numFmtId="49" fontId="0" fillId="4" borderId="0" xfId="21" applyNumberFormat="1" applyFont="1"/>
    <xf numFmtId="49" fontId="6" fillId="3" borderId="1" xfId="20" applyNumberFormat="1" applyBorder="1" applyAlignment="1">
      <alignment horizontal="center"/>
    </xf>
    <xf numFmtId="49" fontId="0" fillId="3" borderId="1" xfId="20" applyNumberFormat="1" applyFont="1" applyBorder="1" applyAlignment="1">
      <alignment horizontal="center"/>
    </xf>
    <xf numFmtId="49" fontId="4" fillId="0" borderId="2" xfId="19" applyNumberFormat="1" applyFont="1" applyBorder="1" applyAlignment="1">
      <alignment horizontal="right" wrapText="1"/>
    </xf>
    <xf numFmtId="49" fontId="4" fillId="0" borderId="2" xfId="19" applyNumberFormat="1" applyFont="1" applyBorder="1" applyAlignment="1">
      <alignment wrapText="1"/>
    </xf>
    <xf numFmtId="49" fontId="4" fillId="0" borderId="2" xfId="14" applyNumberFormat="1" applyFont="1" applyBorder="1" applyAlignment="1">
      <alignment horizontal="right" wrapText="1"/>
    </xf>
    <xf numFmtId="49" fontId="4" fillId="0" borderId="2" xfId="14" applyNumberFormat="1" applyFont="1" applyBorder="1" applyAlignment="1">
      <alignment wrapText="1"/>
    </xf>
    <xf numFmtId="0" fontId="4" fillId="0" borderId="2" xfId="14" applyNumberFormat="1" applyFont="1" applyBorder="1" applyAlignment="1">
      <alignment wrapText="1"/>
    </xf>
    <xf numFmtId="0" fontId="0" fillId="0" borderId="0" xfId="0" applyNumberFormat="1"/>
  </cellXfs>
  <cellStyles count="22">
    <cellStyle name="20% - Accent1" xfId="20" builtinId="30"/>
    <cellStyle name="20% - Accent4" xfId="21" builtinId="42"/>
    <cellStyle name="Normal" xfId="0" builtinId="0"/>
    <cellStyle name="Normal_CAPACITORS" xfId="3" xr:uid="{3483F971-EBB2-48DF-8887-900C9E70DEBE}"/>
    <cellStyle name="Normal_CONNECTORS" xfId="4" xr:uid="{3CBC5428-FC6B-4D95-B6C7-F9E89F658C4B}"/>
    <cellStyle name="Normal_CRYSTALS" xfId="5" xr:uid="{C00B3297-C869-4E11-ACA2-1771D4EFE54E}"/>
    <cellStyle name="Normal_DIODES" xfId="6" xr:uid="{5CACB99E-41D4-4A04-8B60-E48419850938}"/>
    <cellStyle name="Normal_DISPLAY" xfId="7" xr:uid="{E17BB06F-BEA7-4388-9802-97E7742C359E}"/>
    <cellStyle name="Normal_FERRITEBEAD" xfId="8" xr:uid="{47FE9D17-389E-41DD-89C4-0880AB7D1FD6}"/>
    <cellStyle name="Normal_FUSES" xfId="9" xr:uid="{E0D76CC4-18AC-48EF-9787-241E36286C3A}"/>
    <cellStyle name="Normal_IC" xfId="10" xr:uid="{46716810-1D49-439E-97C6-8038433A35B1}"/>
    <cellStyle name="Normal_INDUCTORS" xfId="11" xr:uid="{3BC67DE6-FDE4-4E64-BFB0-44F6AA14F6F1}"/>
    <cellStyle name="Normal_INDUCTORS (2)" xfId="12" xr:uid="{0420AD26-8E3C-485C-BD5B-10C1145B99CA}"/>
    <cellStyle name="Normal_INDUCTORS (5)" xfId="14" xr:uid="{0EC8D3BA-D7DB-4423-9DBE-23BFA16A0E35}"/>
    <cellStyle name="Normal_MECHANICAL" xfId="13" xr:uid="{58AE7CEB-5CFE-41AA-BBB7-067CB5984EC6}"/>
    <cellStyle name="Normal_MOSFETS" xfId="15" xr:uid="{3D2869C0-BA05-4563-8748-9724004A7359}"/>
    <cellStyle name="Normal_RESISTORS" xfId="16" xr:uid="{3DCBEF44-E986-49B2-9817-94E937857065}"/>
    <cellStyle name="Normal_Sheet1" xfId="1" xr:uid="{9D98667F-9D19-4876-A083-F3563E70021D}"/>
    <cellStyle name="Normal_Sheet2" xfId="2" xr:uid="{29CB9C05-E676-4FF5-BB3C-E629EA357792}"/>
    <cellStyle name="Normal_SWITCH" xfId="17" xr:uid="{47E449D7-8DEB-4B4C-9651-0B0A6A6AFC3B}"/>
    <cellStyle name="Normal_THERMAL" xfId="18" xr:uid="{DC5778C3-291A-4C44-AB63-A7E3DF689A21}"/>
    <cellStyle name="Normal_TRANSISTORS" xfId="19" xr:uid="{83FF809C-0093-4D1F-88FF-684B765F96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7C8B-DCE9-48E0-87DD-7CE542299ACC}">
  <dimension ref="A1:P4"/>
  <sheetViews>
    <sheetView workbookViewId="0">
      <selection activeCell="K1" sqref="K1"/>
    </sheetView>
  </sheetViews>
  <sheetFormatPr defaultColWidth="37.42578125" defaultRowHeight="15" x14ac:dyDescent="0.25"/>
  <cols>
    <col min="1" max="1" width="10.5703125" style="3" bestFit="1" customWidth="1"/>
    <col min="2" max="2" width="52.28515625" bestFit="1" customWidth="1"/>
    <col min="3" max="3" width="10.140625" style="3" bestFit="1" customWidth="1"/>
    <col min="4" max="4" width="11.42578125" style="3" bestFit="1" customWidth="1"/>
    <col min="5" max="5" width="12.140625" style="3" bestFit="1" customWidth="1"/>
    <col min="6" max="6" width="13.5703125" style="3" bestFit="1" customWidth="1"/>
    <col min="7" max="7" width="22.42578125" style="3" bestFit="1" customWidth="1"/>
    <col min="8" max="8" width="12.85546875" style="3" bestFit="1" customWidth="1"/>
    <col min="9" max="9" width="19.7109375" style="3" bestFit="1" customWidth="1"/>
    <col min="10" max="10" width="8.42578125" style="3" bestFit="1" customWidth="1"/>
    <col min="11" max="11" width="12" style="3" bestFit="1" customWidth="1"/>
    <col min="12" max="12" width="8.5703125" style="3" bestFit="1" customWidth="1"/>
    <col min="13" max="13" width="8" style="3" bestFit="1" customWidth="1"/>
    <col min="14" max="14" width="11.140625" style="3" bestFit="1" customWidth="1"/>
    <col min="15" max="15" width="8.42578125" style="3" bestFit="1" customWidth="1"/>
    <col min="16" max="16" width="5.140625" style="3" bestFit="1" customWidth="1"/>
    <col min="17" max="16384" width="37.42578125" style="3"/>
  </cols>
  <sheetData>
    <row r="1" spans="1:16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4014</v>
      </c>
      <c r="H1" s="28" t="s">
        <v>6</v>
      </c>
      <c r="I1" s="28" t="s">
        <v>7</v>
      </c>
      <c r="J1" s="28" t="s">
        <v>8</v>
      </c>
      <c r="K1" s="33" t="s">
        <v>4030</v>
      </c>
      <c r="L1" s="28" t="s">
        <v>14</v>
      </c>
      <c r="M1" s="27" t="s">
        <v>61</v>
      </c>
      <c r="N1" s="27" t="s">
        <v>1971</v>
      </c>
      <c r="O1" s="27" t="s">
        <v>1120</v>
      </c>
      <c r="P1" s="27" t="s">
        <v>521</v>
      </c>
    </row>
    <row r="2" spans="1:16" x14ac:dyDescent="0.25">
      <c r="A2" s="4" t="s">
        <v>26</v>
      </c>
      <c r="B2" s="34" t="str">
        <f>_xlfn.CONCAT("AUDIO,",G2,",",H2,",",I2)</f>
        <v>AUDIO,BUZZER,PIEZO,CUI,CEP-2242G</v>
      </c>
      <c r="C2" s="5" t="s">
        <v>15</v>
      </c>
      <c r="D2" s="5" t="s">
        <v>15</v>
      </c>
      <c r="E2" s="5" t="s">
        <v>15</v>
      </c>
      <c r="F2" s="5" t="s">
        <v>15</v>
      </c>
      <c r="G2" s="35" t="s">
        <v>4052</v>
      </c>
      <c r="H2" s="5" t="s">
        <v>16</v>
      </c>
      <c r="I2" s="5" t="s">
        <v>17</v>
      </c>
      <c r="J2" s="35" t="s">
        <v>424</v>
      </c>
      <c r="K2" s="35"/>
      <c r="L2" s="5" t="s">
        <v>18</v>
      </c>
      <c r="N2" s="3" t="s">
        <v>4053</v>
      </c>
    </row>
    <row r="3" spans="1:16" x14ac:dyDescent="0.25">
      <c r="A3" s="4" t="s">
        <v>27</v>
      </c>
      <c r="B3" s="34" t="str">
        <f t="shared" ref="B3:B4" si="0">_xlfn.CONCAT("AUDIO,",G3,",",H3,",",I3)</f>
        <v>AUDIO,BUZZER,PIEZO,SONITROL,</v>
      </c>
      <c r="C3" s="5" t="s">
        <v>15</v>
      </c>
      <c r="D3" s="5" t="s">
        <v>15</v>
      </c>
      <c r="E3" s="5" t="s">
        <v>15</v>
      </c>
      <c r="F3" s="5" t="s">
        <v>15</v>
      </c>
      <c r="G3" s="35" t="s">
        <v>4052</v>
      </c>
      <c r="H3" s="5" t="s">
        <v>19</v>
      </c>
      <c r="I3" s="5" t="s">
        <v>15</v>
      </c>
      <c r="J3" s="5" t="s">
        <v>20</v>
      </c>
      <c r="K3" s="5"/>
      <c r="L3" s="5" t="s">
        <v>21</v>
      </c>
    </row>
    <row r="4" spans="1:16" x14ac:dyDescent="0.25">
      <c r="A4" s="4" t="s">
        <v>28</v>
      </c>
      <c r="B4" s="34" t="str">
        <f t="shared" si="0"/>
        <v>AUDIO,MICROPHONE,ELECTRET,PANASONIC,WM-65A103</v>
      </c>
      <c r="C4" s="5" t="s">
        <v>15</v>
      </c>
      <c r="D4" s="5" t="s">
        <v>15</v>
      </c>
      <c r="E4" s="5" t="s">
        <v>15</v>
      </c>
      <c r="F4" s="5" t="s">
        <v>15</v>
      </c>
      <c r="G4" s="35" t="s">
        <v>4054</v>
      </c>
      <c r="H4" s="5" t="s">
        <v>22</v>
      </c>
      <c r="I4" s="5" t="s">
        <v>23</v>
      </c>
      <c r="J4" s="5" t="s">
        <v>24</v>
      </c>
      <c r="K4" s="5"/>
      <c r="L4" s="5" t="s">
        <v>25</v>
      </c>
      <c r="N4" s="3" t="s">
        <v>23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D808-1183-4143-8552-F88FAA23FFE1}">
  <dimension ref="A1:U3"/>
  <sheetViews>
    <sheetView workbookViewId="0">
      <selection activeCell="R1" sqref="R1:U1"/>
    </sheetView>
  </sheetViews>
  <sheetFormatPr defaultColWidth="84.28515625" defaultRowHeight="15" x14ac:dyDescent="0.25"/>
  <cols>
    <col min="1" max="1" width="10.140625" style="3" bestFit="1" customWidth="1"/>
    <col min="2" max="2" width="45.5703125" bestFit="1" customWidth="1"/>
    <col min="3" max="3" width="10.140625" style="3" bestFit="1" customWidth="1"/>
    <col min="4" max="4" width="11.42578125" style="3" bestFit="1" customWidth="1"/>
    <col min="5" max="5" width="12.140625" style="3" bestFit="1" customWidth="1"/>
    <col min="6" max="6" width="13.5703125" style="3" bestFit="1" customWidth="1"/>
    <col min="7" max="7" width="17.5703125" style="3" bestFit="1" customWidth="1"/>
    <col min="8" max="8" width="12.85546875" style="3" bestFit="1" customWidth="1"/>
    <col min="9" max="9" width="19.7109375" style="3" bestFit="1" customWidth="1"/>
    <col min="10" max="10" width="8.42578125" style="3" bestFit="1" customWidth="1"/>
    <col min="11" max="11" width="6.42578125" style="3" bestFit="1" customWidth="1"/>
    <col min="12" max="12" width="7.5703125" style="3" bestFit="1" customWidth="1"/>
    <col min="13" max="13" width="12" style="3" bestFit="1" customWidth="1"/>
    <col min="14" max="14" width="8.5703125" style="3" bestFit="1" customWidth="1"/>
    <col min="15" max="15" width="6.42578125" style="3" bestFit="1" customWidth="1"/>
    <col min="16" max="16" width="8.5703125" style="3" bestFit="1" customWidth="1"/>
    <col min="17" max="17" width="9.7109375" style="3" bestFit="1" customWidth="1"/>
    <col min="18" max="18" width="8" style="3" bestFit="1" customWidth="1"/>
    <col min="19" max="19" width="7.85546875" style="3" bestFit="1" customWidth="1"/>
    <col min="20" max="20" width="8.42578125" style="3" bestFit="1" customWidth="1"/>
    <col min="21" max="21" width="5.140625" style="3" bestFit="1" customWidth="1"/>
    <col min="22" max="16384" width="84.28515625" style="3"/>
  </cols>
  <sheetData>
    <row r="1" spans="1:21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4014</v>
      </c>
      <c r="H1" s="28" t="s">
        <v>6</v>
      </c>
      <c r="I1" s="28" t="s">
        <v>7</v>
      </c>
      <c r="J1" s="28" t="s">
        <v>8</v>
      </c>
      <c r="K1" s="28" t="s">
        <v>29</v>
      </c>
      <c r="L1" s="28" t="s">
        <v>11</v>
      </c>
      <c r="M1" s="28" t="s">
        <v>4030</v>
      </c>
      <c r="N1" s="28" t="s">
        <v>14</v>
      </c>
      <c r="O1" s="28" t="s">
        <v>31</v>
      </c>
      <c r="P1" s="28" t="s">
        <v>32</v>
      </c>
      <c r="Q1" s="28" t="s">
        <v>33</v>
      </c>
      <c r="R1" s="27" t="s">
        <v>61</v>
      </c>
      <c r="S1" s="27" t="s">
        <v>1971</v>
      </c>
      <c r="T1" s="27" t="s">
        <v>1120</v>
      </c>
      <c r="U1" s="27" t="s">
        <v>521</v>
      </c>
    </row>
    <row r="2" spans="1:21" x14ac:dyDescent="0.25">
      <c r="A2" s="6" t="s">
        <v>41</v>
      </c>
      <c r="B2" s="36" t="str">
        <f>_xlfn.CONCAT("BATTERY,",G2,",",H2,",",I2)</f>
        <v>BATTERY,LITHIUM,CR14250,FDK,CR14250SE</v>
      </c>
      <c r="C2" s="7" t="s">
        <v>15</v>
      </c>
      <c r="D2" s="7" t="s">
        <v>15</v>
      </c>
      <c r="E2" s="7" t="s">
        <v>15</v>
      </c>
      <c r="F2" s="7" t="s">
        <v>15</v>
      </c>
      <c r="G2" s="37" t="s">
        <v>4056</v>
      </c>
      <c r="H2" s="7" t="s">
        <v>34</v>
      </c>
      <c r="I2" s="7" t="s">
        <v>35</v>
      </c>
      <c r="J2" s="7" t="s">
        <v>15</v>
      </c>
      <c r="K2" s="7" t="s">
        <v>15</v>
      </c>
      <c r="L2" s="7" t="s">
        <v>36</v>
      </c>
      <c r="M2" s="7" t="s">
        <v>15</v>
      </c>
      <c r="N2" s="7" t="s">
        <v>37</v>
      </c>
      <c r="O2" s="7" t="s">
        <v>15</v>
      </c>
      <c r="P2" s="7" t="s">
        <v>15</v>
      </c>
      <c r="Q2" s="7" t="s">
        <v>38</v>
      </c>
    </row>
    <row r="3" spans="1:21" x14ac:dyDescent="0.25">
      <c r="A3" s="6" t="s">
        <v>42</v>
      </c>
      <c r="B3" s="36" t="str">
        <f>_xlfn.CONCAT("BATTERY,",G3,",",H3,",",I3)</f>
        <v>BATTERY,LITHIUM,2/3A,PANASONIC,BR-2/3A</v>
      </c>
      <c r="C3" s="7" t="s">
        <v>15</v>
      </c>
      <c r="D3" s="7" t="s">
        <v>15</v>
      </c>
      <c r="E3" s="7" t="s">
        <v>15</v>
      </c>
      <c r="F3" s="7" t="s">
        <v>15</v>
      </c>
      <c r="G3" s="37" t="s">
        <v>4055</v>
      </c>
      <c r="H3" s="7" t="s">
        <v>22</v>
      </c>
      <c r="I3" s="7" t="s">
        <v>39</v>
      </c>
      <c r="J3" s="7" t="s">
        <v>15</v>
      </c>
      <c r="K3" s="7" t="s">
        <v>15</v>
      </c>
      <c r="L3" s="7" t="s">
        <v>36</v>
      </c>
      <c r="M3" s="7" t="s">
        <v>15</v>
      </c>
      <c r="N3" s="7" t="s">
        <v>40</v>
      </c>
      <c r="O3" s="7" t="s">
        <v>15</v>
      </c>
      <c r="P3" s="7" t="s">
        <v>15</v>
      </c>
      <c r="Q3" s="7" t="s">
        <v>38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5074-E152-4ADE-A3DA-9E875A67BD0D}">
  <dimension ref="A1:R100"/>
  <sheetViews>
    <sheetView workbookViewId="0">
      <selection activeCell="O1" sqref="O1:R1"/>
    </sheetView>
  </sheetViews>
  <sheetFormatPr defaultRowHeight="15" x14ac:dyDescent="0.25"/>
  <cols>
    <col min="1" max="1" width="10.28515625" style="3" bestFit="1" customWidth="1"/>
    <col min="2" max="2" width="40.85546875" bestFit="1" customWidth="1"/>
    <col min="3" max="3" width="10.42578125" style="3" bestFit="1" customWidth="1"/>
    <col min="4" max="4" width="24.5703125" style="3" bestFit="1" customWidth="1"/>
    <col min="5" max="5" width="22.28515625" style="3" bestFit="1" customWidth="1"/>
    <col min="6" max="6" width="13.85546875" style="3" bestFit="1" customWidth="1"/>
    <col min="7" max="7" width="25.140625" style="3" bestFit="1" customWidth="1"/>
    <col min="8" max="8" width="22.140625" style="3" bestFit="1" customWidth="1"/>
    <col min="9" max="9" width="18.5703125" style="3" bestFit="1" customWidth="1"/>
    <col min="10" max="10" width="11.5703125" style="3" bestFit="1" customWidth="1"/>
    <col min="11" max="11" width="8" style="3" bestFit="1" customWidth="1"/>
    <col min="12" max="12" width="7.85546875" style="3" bestFit="1" customWidth="1"/>
    <col min="13" max="13" width="10.7109375" style="3" bestFit="1" customWidth="1"/>
    <col min="14" max="14" width="20.85546875" style="3" bestFit="1" customWidth="1"/>
    <col min="15" max="15" width="9.140625" style="3"/>
    <col min="16" max="16" width="11.5703125" style="3" customWidth="1"/>
    <col min="17" max="16384" width="9.140625" style="3"/>
  </cols>
  <sheetData>
    <row r="1" spans="1:18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33" t="s">
        <v>4072</v>
      </c>
      <c r="J1" s="33" t="s">
        <v>4071</v>
      </c>
      <c r="K1" s="33" t="s">
        <v>4057</v>
      </c>
      <c r="L1" s="33" t="s">
        <v>4070</v>
      </c>
      <c r="M1" s="28" t="s">
        <v>4014</v>
      </c>
      <c r="N1" s="28" t="s">
        <v>14</v>
      </c>
      <c r="O1" s="27" t="s">
        <v>61</v>
      </c>
      <c r="P1" s="27" t="s">
        <v>1971</v>
      </c>
      <c r="Q1" s="27" t="s">
        <v>1120</v>
      </c>
      <c r="R1" s="27" t="s">
        <v>521</v>
      </c>
    </row>
    <row r="2" spans="1:18" x14ac:dyDescent="0.25">
      <c r="A2" s="1" t="s">
        <v>317</v>
      </c>
      <c r="B2" s="38" t="str">
        <f t="shared" ref="B2:B33" si="0">_xlfn.CONCAT("CAP,",M2,",",J2,",",L2,",",K2,",",I2)</f>
        <v>CAP,CER,1uF,10V,X5R,0805</v>
      </c>
      <c r="C2" s="2" t="s">
        <v>43</v>
      </c>
      <c r="D2" s="2" t="s">
        <v>44</v>
      </c>
      <c r="E2" s="2" t="s">
        <v>43</v>
      </c>
      <c r="F2" s="2" t="s">
        <v>15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</row>
    <row r="3" spans="1:18" x14ac:dyDescent="0.25">
      <c r="A3" s="1" t="s">
        <v>318</v>
      </c>
      <c r="B3" s="38" t="str">
        <f t="shared" si="0"/>
        <v>CAP,FILM,39nF,50V,MP,BOX508</v>
      </c>
      <c r="C3" s="2" t="s">
        <v>53</v>
      </c>
      <c r="D3" s="2" t="s">
        <v>44</v>
      </c>
      <c r="E3" s="2" t="s">
        <v>54</v>
      </c>
      <c r="F3" s="2" t="s">
        <v>15</v>
      </c>
      <c r="G3" s="2" t="s">
        <v>22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15</v>
      </c>
      <c r="O3" s="2" t="s">
        <v>62</v>
      </c>
    </row>
    <row r="4" spans="1:18" x14ac:dyDescent="0.25">
      <c r="A4" s="1" t="s">
        <v>319</v>
      </c>
      <c r="B4" s="38" t="str">
        <f t="shared" si="0"/>
        <v>CAP,TANT,3u3,10V,TANT,TANT-A</v>
      </c>
      <c r="C4" s="2" t="s">
        <v>63</v>
      </c>
      <c r="D4" s="2" t="s">
        <v>44</v>
      </c>
      <c r="E4" s="2" t="s">
        <v>64</v>
      </c>
      <c r="F4" s="2" t="s">
        <v>15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50</v>
      </c>
      <c r="M4" s="2" t="s">
        <v>69</v>
      </c>
      <c r="N4" s="2" t="s">
        <v>70</v>
      </c>
    </row>
    <row r="5" spans="1:18" x14ac:dyDescent="0.25">
      <c r="A5" s="1" t="s">
        <v>320</v>
      </c>
      <c r="B5" s="38" t="str">
        <f t="shared" si="0"/>
        <v>CAP,CER,4n7,50V,X7R,0603</v>
      </c>
      <c r="C5" s="2" t="s">
        <v>71</v>
      </c>
      <c r="D5" s="2" t="s">
        <v>44</v>
      </c>
      <c r="E5" s="2" t="s">
        <v>71</v>
      </c>
      <c r="F5" s="2" t="s">
        <v>15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59</v>
      </c>
      <c r="M5" s="2" t="s">
        <v>51</v>
      </c>
      <c r="N5" s="2" t="s">
        <v>15</v>
      </c>
    </row>
    <row r="6" spans="1:18" x14ac:dyDescent="0.25">
      <c r="A6" s="1" t="s">
        <v>321</v>
      </c>
      <c r="B6" s="38" t="str">
        <f t="shared" si="0"/>
        <v>CAP,CER,100nF,25V,X7R,DEAD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76</v>
      </c>
      <c r="L6" s="2" t="s">
        <v>81</v>
      </c>
      <c r="M6" s="2" t="s">
        <v>51</v>
      </c>
      <c r="N6" s="2" t="s">
        <v>15</v>
      </c>
    </row>
    <row r="7" spans="1:18" x14ac:dyDescent="0.25">
      <c r="A7" s="1" t="s">
        <v>322</v>
      </c>
      <c r="B7" s="38" t="str">
        <f t="shared" si="0"/>
        <v>CAP,TANT,10uF,10V,TANT,</v>
      </c>
      <c r="C7" s="2" t="s">
        <v>63</v>
      </c>
      <c r="D7" s="2" t="s">
        <v>44</v>
      </c>
      <c r="E7" s="2" t="s">
        <v>15</v>
      </c>
      <c r="F7" s="2" t="s">
        <v>15</v>
      </c>
      <c r="G7" s="2" t="s">
        <v>82</v>
      </c>
      <c r="H7" s="2" t="s">
        <v>83</v>
      </c>
      <c r="I7" s="2" t="s">
        <v>15</v>
      </c>
      <c r="J7" s="2" t="s">
        <v>84</v>
      </c>
      <c r="K7" s="2" t="s">
        <v>69</v>
      </c>
      <c r="L7" s="2" t="s">
        <v>50</v>
      </c>
      <c r="M7" s="2" t="s">
        <v>69</v>
      </c>
      <c r="N7" s="2" t="s">
        <v>85</v>
      </c>
    </row>
    <row r="8" spans="1:18" x14ac:dyDescent="0.25">
      <c r="A8" s="1" t="s">
        <v>323</v>
      </c>
      <c r="B8" s="38" t="str">
        <f t="shared" si="0"/>
        <v>CAP,TANT,4u7,16V,TANT,1206</v>
      </c>
      <c r="C8" s="2" t="s">
        <v>63</v>
      </c>
      <c r="D8" s="2" t="s">
        <v>44</v>
      </c>
      <c r="E8" s="2" t="s">
        <v>86</v>
      </c>
      <c r="F8" s="2" t="s">
        <v>15</v>
      </c>
      <c r="G8" s="2" t="s">
        <v>87</v>
      </c>
      <c r="H8" s="2" t="s">
        <v>88</v>
      </c>
      <c r="I8" s="2" t="s">
        <v>89</v>
      </c>
      <c r="J8" s="2" t="s">
        <v>90</v>
      </c>
      <c r="K8" s="2" t="s">
        <v>69</v>
      </c>
      <c r="L8" s="2" t="s">
        <v>91</v>
      </c>
      <c r="M8" s="2" t="s">
        <v>69</v>
      </c>
      <c r="N8" s="2" t="s">
        <v>92</v>
      </c>
    </row>
    <row r="9" spans="1:18" x14ac:dyDescent="0.25">
      <c r="A9" s="1" t="s">
        <v>324</v>
      </c>
      <c r="B9" s="38" t="str">
        <f t="shared" si="0"/>
        <v>CAP,TANT,3u3,10V,TANT,</v>
      </c>
      <c r="C9" s="2" t="s">
        <v>63</v>
      </c>
      <c r="D9" s="2" t="s">
        <v>44</v>
      </c>
      <c r="E9" s="2" t="s">
        <v>15</v>
      </c>
      <c r="F9" s="2" t="s">
        <v>15</v>
      </c>
      <c r="G9" s="2" t="s">
        <v>93</v>
      </c>
      <c r="H9" s="2" t="s">
        <v>15</v>
      </c>
      <c r="I9" s="2" t="s">
        <v>15</v>
      </c>
      <c r="J9" s="2" t="s">
        <v>68</v>
      </c>
      <c r="K9" s="2" t="s">
        <v>69</v>
      </c>
      <c r="L9" s="2" t="s">
        <v>50</v>
      </c>
      <c r="M9" s="2" t="s">
        <v>69</v>
      </c>
      <c r="N9" s="2" t="s">
        <v>94</v>
      </c>
    </row>
    <row r="10" spans="1:18" x14ac:dyDescent="0.25">
      <c r="A10" s="1" t="s">
        <v>325</v>
      </c>
      <c r="B10" s="38" t="str">
        <f t="shared" si="0"/>
        <v>CAP,TANT,2u2,10V,TANT,</v>
      </c>
      <c r="C10" s="2" t="s">
        <v>63</v>
      </c>
      <c r="D10" s="2" t="s">
        <v>44</v>
      </c>
      <c r="E10" s="2" t="s">
        <v>15</v>
      </c>
      <c r="F10" s="2" t="s">
        <v>15</v>
      </c>
      <c r="G10" s="2" t="s">
        <v>95</v>
      </c>
      <c r="H10" s="2" t="s">
        <v>15</v>
      </c>
      <c r="I10" s="2" t="s">
        <v>15</v>
      </c>
      <c r="J10" s="2" t="s">
        <v>96</v>
      </c>
      <c r="K10" s="2" t="s">
        <v>69</v>
      </c>
      <c r="L10" s="2" t="s">
        <v>50</v>
      </c>
      <c r="M10" s="2" t="s">
        <v>69</v>
      </c>
      <c r="N10" s="2" t="s">
        <v>97</v>
      </c>
    </row>
    <row r="11" spans="1:18" x14ac:dyDescent="0.25">
      <c r="A11" s="1" t="s">
        <v>326</v>
      </c>
      <c r="B11" s="38" t="str">
        <f t="shared" si="0"/>
        <v>CAP,TANT,4u7,16V,TANT,</v>
      </c>
      <c r="C11" s="2" t="s">
        <v>63</v>
      </c>
      <c r="D11" s="2" t="s">
        <v>44</v>
      </c>
      <c r="E11" s="2" t="s">
        <v>15</v>
      </c>
      <c r="F11" s="2" t="s">
        <v>15</v>
      </c>
      <c r="G11" s="2" t="s">
        <v>98</v>
      </c>
      <c r="H11" s="2" t="s">
        <v>15</v>
      </c>
      <c r="I11" s="2" t="s">
        <v>15</v>
      </c>
      <c r="J11" s="2" t="s">
        <v>90</v>
      </c>
      <c r="K11" s="2" t="s">
        <v>69</v>
      </c>
      <c r="L11" s="2" t="s">
        <v>91</v>
      </c>
      <c r="M11" s="2" t="s">
        <v>69</v>
      </c>
      <c r="N11" s="2" t="s">
        <v>99</v>
      </c>
    </row>
    <row r="12" spans="1:18" x14ac:dyDescent="0.25">
      <c r="A12" s="1" t="s">
        <v>327</v>
      </c>
      <c r="B12" s="38" t="str">
        <f t="shared" si="0"/>
        <v>CAP,CER,100nF,50V,X7R,0805</v>
      </c>
      <c r="C12" s="2" t="s">
        <v>43</v>
      </c>
      <c r="D12" s="2" t="s">
        <v>44</v>
      </c>
      <c r="E12" s="2" t="s">
        <v>43</v>
      </c>
      <c r="F12" s="2" t="s">
        <v>15</v>
      </c>
      <c r="G12" s="2" t="s">
        <v>72</v>
      </c>
      <c r="H12" s="2" t="s">
        <v>100</v>
      </c>
      <c r="I12" s="2" t="s">
        <v>47</v>
      </c>
      <c r="J12" s="2" t="s">
        <v>80</v>
      </c>
      <c r="K12" s="2" t="s">
        <v>76</v>
      </c>
      <c r="L12" s="2" t="s">
        <v>59</v>
      </c>
      <c r="M12" s="2" t="s">
        <v>51</v>
      </c>
      <c r="N12" s="2" t="s">
        <v>101</v>
      </c>
    </row>
    <row r="13" spans="1:18" x14ac:dyDescent="0.25">
      <c r="A13" s="1" t="s">
        <v>328</v>
      </c>
      <c r="B13" s="38" t="str">
        <f t="shared" si="0"/>
        <v>CAP,CER,10nF,50V,X7R,0603</v>
      </c>
      <c r="C13" s="2" t="s">
        <v>71</v>
      </c>
      <c r="D13" s="2" t="s">
        <v>44</v>
      </c>
      <c r="E13" s="2" t="s">
        <v>15</v>
      </c>
      <c r="F13" s="2" t="s">
        <v>15</v>
      </c>
      <c r="G13" s="2" t="s">
        <v>22</v>
      </c>
      <c r="H13" s="2" t="s">
        <v>102</v>
      </c>
      <c r="I13" s="2" t="s">
        <v>74</v>
      </c>
      <c r="J13" s="2" t="s">
        <v>103</v>
      </c>
      <c r="K13" s="2" t="s">
        <v>76</v>
      </c>
      <c r="L13" s="2" t="s">
        <v>59</v>
      </c>
      <c r="M13" s="2" t="s">
        <v>51</v>
      </c>
      <c r="N13" s="2" t="s">
        <v>104</v>
      </c>
    </row>
    <row r="14" spans="1:18" x14ac:dyDescent="0.25">
      <c r="A14" s="1" t="s">
        <v>329</v>
      </c>
      <c r="B14" s="38" t="str">
        <f t="shared" si="0"/>
        <v>CAP,TANT,2u2,25V,,TANT-B</v>
      </c>
      <c r="C14" s="2" t="s">
        <v>63</v>
      </c>
      <c r="D14" s="2" t="s">
        <v>44</v>
      </c>
      <c r="E14" s="2" t="s">
        <v>15</v>
      </c>
      <c r="F14" s="2" t="s">
        <v>15</v>
      </c>
      <c r="G14" s="2" t="s">
        <v>65</v>
      </c>
      <c r="H14" s="2" t="s">
        <v>105</v>
      </c>
      <c r="I14" s="2" t="s">
        <v>106</v>
      </c>
      <c r="J14" s="2" t="s">
        <v>96</v>
      </c>
      <c r="K14" s="2" t="s">
        <v>15</v>
      </c>
      <c r="L14" s="2" t="s">
        <v>81</v>
      </c>
      <c r="M14" s="2" t="s">
        <v>69</v>
      </c>
      <c r="N14" s="2" t="s">
        <v>107</v>
      </c>
    </row>
    <row r="15" spans="1:18" x14ac:dyDescent="0.25">
      <c r="A15" s="1" t="s">
        <v>330</v>
      </c>
      <c r="B15" s="38" t="str">
        <f t="shared" si="0"/>
        <v>CAP,CER,4p7,50V,C0G,0805</v>
      </c>
      <c r="C15" s="2" t="s">
        <v>43</v>
      </c>
      <c r="D15" s="2" t="s">
        <v>44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47</v>
      </c>
      <c r="J15" s="39" t="s">
        <v>4058</v>
      </c>
      <c r="K15" s="2" t="s">
        <v>108</v>
      </c>
      <c r="L15" s="2" t="s">
        <v>59</v>
      </c>
      <c r="M15" s="2" t="s">
        <v>51</v>
      </c>
      <c r="N15" s="2" t="s">
        <v>109</v>
      </c>
    </row>
    <row r="16" spans="1:18" x14ac:dyDescent="0.25">
      <c r="A16" s="1" t="s">
        <v>331</v>
      </c>
      <c r="B16" s="38" t="str">
        <f t="shared" si="0"/>
        <v>CAP,CER,1nF,50V,X7R,0805</v>
      </c>
      <c r="C16" s="2" t="s">
        <v>43</v>
      </c>
      <c r="D16" s="2" t="s">
        <v>44</v>
      </c>
      <c r="E16" s="2" t="s">
        <v>43</v>
      </c>
      <c r="F16" s="2" t="s">
        <v>15</v>
      </c>
      <c r="G16" s="2" t="s">
        <v>15</v>
      </c>
      <c r="H16" s="2" t="s">
        <v>15</v>
      </c>
      <c r="I16" s="2" t="s">
        <v>47</v>
      </c>
      <c r="J16" s="39" t="s">
        <v>4059</v>
      </c>
      <c r="K16" s="2" t="s">
        <v>76</v>
      </c>
      <c r="L16" s="2" t="s">
        <v>59</v>
      </c>
      <c r="M16" s="2" t="s">
        <v>51</v>
      </c>
      <c r="N16" s="2" t="s">
        <v>111</v>
      </c>
    </row>
    <row r="17" spans="1:14" x14ac:dyDescent="0.25">
      <c r="A17" s="1" t="s">
        <v>332</v>
      </c>
      <c r="B17" s="38" t="str">
        <f t="shared" si="0"/>
        <v>CAP,CER,33pF,50V,C0G,0805</v>
      </c>
      <c r="C17" s="2" t="s">
        <v>43</v>
      </c>
      <c r="D17" s="2" t="s">
        <v>44</v>
      </c>
      <c r="E17" s="2" t="s">
        <v>43</v>
      </c>
      <c r="F17" s="2" t="s">
        <v>15</v>
      </c>
      <c r="G17" s="2" t="s">
        <v>15</v>
      </c>
      <c r="H17" s="2" t="s">
        <v>15</v>
      </c>
      <c r="I17" s="2" t="s">
        <v>47</v>
      </c>
      <c r="J17" s="39" t="s">
        <v>4060</v>
      </c>
      <c r="K17" s="2" t="s">
        <v>108</v>
      </c>
      <c r="L17" s="2" t="s">
        <v>59</v>
      </c>
      <c r="M17" s="2" t="s">
        <v>51</v>
      </c>
      <c r="N17" s="2" t="s">
        <v>112</v>
      </c>
    </row>
    <row r="18" spans="1:14" x14ac:dyDescent="0.25">
      <c r="A18" s="1" t="s">
        <v>333</v>
      </c>
      <c r="B18" s="38" t="str">
        <f t="shared" si="0"/>
        <v>CAP,CER,150pF,50V,C0G,0805</v>
      </c>
      <c r="C18" s="2" t="s">
        <v>43</v>
      </c>
      <c r="D18" s="2" t="s">
        <v>44</v>
      </c>
      <c r="E18" s="2" t="s">
        <v>43</v>
      </c>
      <c r="F18" s="2" t="s">
        <v>15</v>
      </c>
      <c r="G18" s="2" t="s">
        <v>15</v>
      </c>
      <c r="H18" s="2" t="s">
        <v>15</v>
      </c>
      <c r="I18" s="2" t="s">
        <v>47</v>
      </c>
      <c r="J18" s="39" t="s">
        <v>4061</v>
      </c>
      <c r="K18" s="2" t="s">
        <v>108</v>
      </c>
      <c r="L18" s="2" t="s">
        <v>59</v>
      </c>
      <c r="M18" s="2" t="s">
        <v>51</v>
      </c>
      <c r="N18" s="2" t="s">
        <v>113</v>
      </c>
    </row>
    <row r="19" spans="1:14" x14ac:dyDescent="0.25">
      <c r="A19" s="1" t="s">
        <v>334</v>
      </c>
      <c r="B19" s="38" t="str">
        <f t="shared" si="0"/>
        <v>CAP,CER,47nF,50V,X7R,0805</v>
      </c>
      <c r="C19" s="2" t="s">
        <v>43</v>
      </c>
      <c r="D19" s="2" t="s">
        <v>44</v>
      </c>
      <c r="E19" s="2" t="s">
        <v>43</v>
      </c>
      <c r="F19" s="2" t="s">
        <v>15</v>
      </c>
      <c r="G19" s="2" t="s">
        <v>15</v>
      </c>
      <c r="H19" s="2" t="s">
        <v>15</v>
      </c>
      <c r="I19" s="2" t="s">
        <v>47</v>
      </c>
      <c r="J19" s="39" t="s">
        <v>221</v>
      </c>
      <c r="K19" s="2" t="s">
        <v>76</v>
      </c>
      <c r="L19" s="2" t="s">
        <v>59</v>
      </c>
      <c r="M19" s="2" t="s">
        <v>51</v>
      </c>
      <c r="N19" s="2" t="s">
        <v>115</v>
      </c>
    </row>
    <row r="20" spans="1:14" x14ac:dyDescent="0.25">
      <c r="A20" s="1" t="s">
        <v>335</v>
      </c>
      <c r="B20" s="38" t="str">
        <f t="shared" si="0"/>
        <v>CAP,CER,10nf,50V,X7R,0805</v>
      </c>
      <c r="C20" s="2" t="s">
        <v>43</v>
      </c>
      <c r="D20" s="2" t="s">
        <v>44</v>
      </c>
      <c r="E20" s="2" t="s">
        <v>43</v>
      </c>
      <c r="F20" s="2" t="s">
        <v>15</v>
      </c>
      <c r="G20" s="2" t="s">
        <v>15</v>
      </c>
      <c r="H20" s="2" t="s">
        <v>15</v>
      </c>
      <c r="I20" s="2" t="s">
        <v>47</v>
      </c>
      <c r="J20" s="39" t="s">
        <v>4062</v>
      </c>
      <c r="K20" s="2" t="s">
        <v>76</v>
      </c>
      <c r="L20" s="2" t="s">
        <v>59</v>
      </c>
      <c r="M20" s="2" t="s">
        <v>51</v>
      </c>
      <c r="N20" s="2" t="s">
        <v>117</v>
      </c>
    </row>
    <row r="21" spans="1:14" x14ac:dyDescent="0.25">
      <c r="A21" s="1" t="s">
        <v>336</v>
      </c>
      <c r="B21" s="38" t="str">
        <f t="shared" si="0"/>
        <v>CAP,CER,680pF,50V,C0G,0805</v>
      </c>
      <c r="C21" s="2" t="s">
        <v>43</v>
      </c>
      <c r="D21" s="2" t="s">
        <v>44</v>
      </c>
      <c r="E21" s="2" t="s">
        <v>43</v>
      </c>
      <c r="F21" s="2" t="s">
        <v>15</v>
      </c>
      <c r="G21" s="2" t="s">
        <v>15</v>
      </c>
      <c r="H21" s="2" t="s">
        <v>15</v>
      </c>
      <c r="I21" s="2" t="s">
        <v>47</v>
      </c>
      <c r="J21" s="39" t="s">
        <v>4063</v>
      </c>
      <c r="K21" s="2" t="s">
        <v>108</v>
      </c>
      <c r="L21" s="2" t="s">
        <v>59</v>
      </c>
      <c r="M21" s="2" t="s">
        <v>51</v>
      </c>
      <c r="N21" s="2" t="s">
        <v>118</v>
      </c>
    </row>
    <row r="22" spans="1:14" x14ac:dyDescent="0.25">
      <c r="A22" s="1" t="s">
        <v>337</v>
      </c>
      <c r="B22" s="38" t="str">
        <f t="shared" si="0"/>
        <v>CAP,CER,3u3,50V,X7R,CER508</v>
      </c>
      <c r="C22" s="2" t="s">
        <v>119</v>
      </c>
      <c r="D22" s="2" t="s">
        <v>44</v>
      </c>
      <c r="E22" s="2" t="s">
        <v>120</v>
      </c>
      <c r="F22" s="2" t="s">
        <v>15</v>
      </c>
      <c r="G22" s="2" t="s">
        <v>121</v>
      </c>
      <c r="H22" s="2" t="s">
        <v>15</v>
      </c>
      <c r="I22" s="2" t="s">
        <v>122</v>
      </c>
      <c r="J22" s="39" t="s">
        <v>68</v>
      </c>
      <c r="K22" s="2" t="s">
        <v>76</v>
      </c>
      <c r="L22" s="2" t="s">
        <v>59</v>
      </c>
      <c r="M22" s="2" t="s">
        <v>51</v>
      </c>
      <c r="N22" s="2" t="s">
        <v>123</v>
      </c>
    </row>
    <row r="23" spans="1:14" x14ac:dyDescent="0.25">
      <c r="A23" s="1" t="s">
        <v>338</v>
      </c>
      <c r="B23" s="38" t="str">
        <f t="shared" si="0"/>
        <v>CAP,CER,6n8,50V,X7R,CER508</v>
      </c>
      <c r="C23" s="2" t="s">
        <v>119</v>
      </c>
      <c r="D23" s="2" t="s">
        <v>44</v>
      </c>
      <c r="E23" s="2" t="s">
        <v>120</v>
      </c>
      <c r="F23" s="2" t="s">
        <v>15</v>
      </c>
      <c r="G23" s="2" t="s">
        <v>121</v>
      </c>
      <c r="H23" s="2" t="s">
        <v>15</v>
      </c>
      <c r="I23" s="2" t="s">
        <v>122</v>
      </c>
      <c r="J23" s="39" t="s">
        <v>4064</v>
      </c>
      <c r="K23" s="2" t="s">
        <v>76</v>
      </c>
      <c r="L23" s="2" t="s">
        <v>59</v>
      </c>
      <c r="M23" s="2" t="s">
        <v>51</v>
      </c>
      <c r="N23" s="2" t="s">
        <v>124</v>
      </c>
    </row>
    <row r="24" spans="1:14" x14ac:dyDescent="0.25">
      <c r="A24" s="1" t="s">
        <v>339</v>
      </c>
      <c r="B24" s="38" t="str">
        <f t="shared" si="0"/>
        <v>CAP,CER,680pF,50V,X7R,CER508</v>
      </c>
      <c r="C24" s="2" t="s">
        <v>119</v>
      </c>
      <c r="D24" s="2" t="s">
        <v>44</v>
      </c>
      <c r="E24" s="2" t="s">
        <v>120</v>
      </c>
      <c r="F24" s="2" t="s">
        <v>15</v>
      </c>
      <c r="G24" s="2" t="s">
        <v>121</v>
      </c>
      <c r="H24" s="2" t="s">
        <v>15</v>
      </c>
      <c r="I24" s="2" t="s">
        <v>122</v>
      </c>
      <c r="J24" s="39" t="s">
        <v>4063</v>
      </c>
      <c r="K24" s="2" t="s">
        <v>76</v>
      </c>
      <c r="L24" s="2" t="s">
        <v>59</v>
      </c>
      <c r="M24" s="2" t="s">
        <v>51</v>
      </c>
      <c r="N24" s="2" t="s">
        <v>125</v>
      </c>
    </row>
    <row r="25" spans="1:14" x14ac:dyDescent="0.25">
      <c r="A25" s="1" t="s">
        <v>340</v>
      </c>
      <c r="B25" s="38" t="str">
        <f t="shared" si="0"/>
        <v>CAP,CER,22nF,50V,X7R,CER508</v>
      </c>
      <c r="C25" s="2" t="s">
        <v>119</v>
      </c>
      <c r="D25" s="2" t="s">
        <v>44</v>
      </c>
      <c r="E25" s="2" t="s">
        <v>120</v>
      </c>
      <c r="F25" s="2" t="s">
        <v>15</v>
      </c>
      <c r="G25" s="2" t="s">
        <v>121</v>
      </c>
      <c r="H25" s="2" t="s">
        <v>15</v>
      </c>
      <c r="I25" s="2" t="s">
        <v>122</v>
      </c>
      <c r="J25" s="39" t="s">
        <v>4065</v>
      </c>
      <c r="K25" s="2" t="s">
        <v>76</v>
      </c>
      <c r="L25" s="2" t="s">
        <v>59</v>
      </c>
      <c r="M25" s="2" t="s">
        <v>51</v>
      </c>
      <c r="N25" s="2" t="s">
        <v>126</v>
      </c>
    </row>
    <row r="26" spans="1:14" x14ac:dyDescent="0.25">
      <c r="A26" s="1" t="s">
        <v>341</v>
      </c>
      <c r="B26" s="38" t="str">
        <f t="shared" si="0"/>
        <v>CAP,CER,150nF,50V,X7R,CER508</v>
      </c>
      <c r="C26" s="2" t="s">
        <v>119</v>
      </c>
      <c r="D26" s="2" t="s">
        <v>44</v>
      </c>
      <c r="E26" s="2" t="s">
        <v>120</v>
      </c>
      <c r="F26" s="2" t="s">
        <v>15</v>
      </c>
      <c r="G26" s="2" t="s">
        <v>121</v>
      </c>
      <c r="H26" s="2" t="s">
        <v>15</v>
      </c>
      <c r="I26" s="2" t="s">
        <v>122</v>
      </c>
      <c r="J26" s="39" t="s">
        <v>174</v>
      </c>
      <c r="K26" s="2" t="s">
        <v>76</v>
      </c>
      <c r="L26" s="2" t="s">
        <v>59</v>
      </c>
      <c r="M26" s="2" t="s">
        <v>51</v>
      </c>
      <c r="N26" s="2" t="s">
        <v>127</v>
      </c>
    </row>
    <row r="27" spans="1:14" x14ac:dyDescent="0.25">
      <c r="A27" s="1" t="s">
        <v>342</v>
      </c>
      <c r="B27" s="38" t="str">
        <f t="shared" si="0"/>
        <v>CAP,CER,4n7,50V,X7R,CER508</v>
      </c>
      <c r="C27" s="2" t="s">
        <v>119</v>
      </c>
      <c r="D27" s="2" t="s">
        <v>44</v>
      </c>
      <c r="E27" s="2" t="s">
        <v>120</v>
      </c>
      <c r="F27" s="2" t="s">
        <v>15</v>
      </c>
      <c r="G27" s="2" t="s">
        <v>121</v>
      </c>
      <c r="H27" s="2" t="s">
        <v>15</v>
      </c>
      <c r="I27" s="2" t="s">
        <v>122</v>
      </c>
      <c r="J27" s="39" t="s">
        <v>75</v>
      </c>
      <c r="K27" s="2" t="s">
        <v>76</v>
      </c>
      <c r="L27" s="2" t="s">
        <v>59</v>
      </c>
      <c r="M27" s="2" t="s">
        <v>51</v>
      </c>
      <c r="N27" s="2" t="s">
        <v>129</v>
      </c>
    </row>
    <row r="28" spans="1:14" x14ac:dyDescent="0.25">
      <c r="A28" s="1" t="s">
        <v>343</v>
      </c>
      <c r="B28" s="38" t="str">
        <f t="shared" si="0"/>
        <v>CAP,CER,20pF,50V,X7R,CER508</v>
      </c>
      <c r="C28" s="2" t="s">
        <v>119</v>
      </c>
      <c r="D28" s="2" t="s">
        <v>44</v>
      </c>
      <c r="E28" s="2" t="s">
        <v>120</v>
      </c>
      <c r="F28" s="2" t="s">
        <v>15</v>
      </c>
      <c r="G28" s="2" t="s">
        <v>121</v>
      </c>
      <c r="H28" s="2" t="s">
        <v>15</v>
      </c>
      <c r="I28" s="2" t="s">
        <v>122</v>
      </c>
      <c r="J28" s="39" t="s">
        <v>4066</v>
      </c>
      <c r="K28" s="2" t="s">
        <v>76</v>
      </c>
      <c r="L28" s="2" t="s">
        <v>59</v>
      </c>
      <c r="M28" s="2" t="s">
        <v>51</v>
      </c>
      <c r="N28" s="2" t="s">
        <v>130</v>
      </c>
    </row>
    <row r="29" spans="1:14" x14ac:dyDescent="0.25">
      <c r="A29" s="1" t="s">
        <v>344</v>
      </c>
      <c r="B29" s="38" t="str">
        <f t="shared" si="0"/>
        <v>CAP,CER,100pF,50V,X7R,CER508</v>
      </c>
      <c r="C29" s="2" t="s">
        <v>119</v>
      </c>
      <c r="D29" s="2" t="s">
        <v>44</v>
      </c>
      <c r="E29" s="2" t="s">
        <v>120</v>
      </c>
      <c r="F29" s="2" t="s">
        <v>15</v>
      </c>
      <c r="G29" s="2" t="s">
        <v>121</v>
      </c>
      <c r="H29" s="2" t="s">
        <v>15</v>
      </c>
      <c r="I29" s="2" t="s">
        <v>122</v>
      </c>
      <c r="J29" s="39" t="s">
        <v>4067</v>
      </c>
      <c r="K29" s="2" t="s">
        <v>76</v>
      </c>
      <c r="L29" s="2" t="s">
        <v>59</v>
      </c>
      <c r="M29" s="2" t="s">
        <v>51</v>
      </c>
      <c r="N29" s="2" t="s">
        <v>131</v>
      </c>
    </row>
    <row r="30" spans="1:14" x14ac:dyDescent="0.25">
      <c r="A30" s="1" t="s">
        <v>345</v>
      </c>
      <c r="B30" s="38" t="str">
        <f t="shared" si="0"/>
        <v>CAP,CER,2n2,50V,X7R,CER508</v>
      </c>
      <c r="C30" s="2" t="s">
        <v>119</v>
      </c>
      <c r="D30" s="2" t="s">
        <v>44</v>
      </c>
      <c r="E30" s="2" t="s">
        <v>120</v>
      </c>
      <c r="F30" s="2" t="s">
        <v>15</v>
      </c>
      <c r="G30" s="2" t="s">
        <v>121</v>
      </c>
      <c r="H30" s="2" t="s">
        <v>15</v>
      </c>
      <c r="I30" s="2" t="s">
        <v>122</v>
      </c>
      <c r="J30" s="39" t="s">
        <v>179</v>
      </c>
      <c r="K30" s="2" t="s">
        <v>76</v>
      </c>
      <c r="L30" s="2" t="s">
        <v>59</v>
      </c>
      <c r="M30" s="2" t="s">
        <v>51</v>
      </c>
      <c r="N30" s="2" t="s">
        <v>132</v>
      </c>
    </row>
    <row r="31" spans="1:14" x14ac:dyDescent="0.25">
      <c r="A31" s="1" t="s">
        <v>346</v>
      </c>
      <c r="B31" s="38" t="str">
        <f t="shared" si="0"/>
        <v>CAP,CER,3n3,50V,X7R,CER508</v>
      </c>
      <c r="C31" s="2" t="s">
        <v>119</v>
      </c>
      <c r="D31" s="2" t="s">
        <v>44</v>
      </c>
      <c r="E31" s="2" t="s">
        <v>120</v>
      </c>
      <c r="F31" s="2" t="s">
        <v>15</v>
      </c>
      <c r="G31" s="2" t="s">
        <v>121</v>
      </c>
      <c r="H31" s="2" t="s">
        <v>15</v>
      </c>
      <c r="I31" s="2" t="s">
        <v>122</v>
      </c>
      <c r="J31" s="39" t="s">
        <v>4068</v>
      </c>
      <c r="K31" s="2" t="s">
        <v>76</v>
      </c>
      <c r="L31" s="2" t="s">
        <v>59</v>
      </c>
      <c r="M31" s="2" t="s">
        <v>51</v>
      </c>
      <c r="N31" s="2" t="s">
        <v>133</v>
      </c>
    </row>
    <row r="32" spans="1:14" x14ac:dyDescent="0.25">
      <c r="A32" s="1" t="s">
        <v>347</v>
      </c>
      <c r="B32" s="38" t="str">
        <f t="shared" si="0"/>
        <v>CAP,CER,220nF,50V,X7R,CER508</v>
      </c>
      <c r="C32" s="2" t="s">
        <v>119</v>
      </c>
      <c r="D32" s="2" t="s">
        <v>44</v>
      </c>
      <c r="E32" s="2" t="s">
        <v>120</v>
      </c>
      <c r="F32" s="2" t="s">
        <v>15</v>
      </c>
      <c r="G32" s="2" t="s">
        <v>121</v>
      </c>
      <c r="H32" s="2" t="s">
        <v>15</v>
      </c>
      <c r="I32" s="2" t="s">
        <v>122</v>
      </c>
      <c r="J32" s="39" t="s">
        <v>197</v>
      </c>
      <c r="K32" s="2" t="s">
        <v>76</v>
      </c>
      <c r="L32" s="2" t="s">
        <v>59</v>
      </c>
      <c r="M32" s="2" t="s">
        <v>51</v>
      </c>
      <c r="N32" s="2" t="s">
        <v>134</v>
      </c>
    </row>
    <row r="33" spans="1:14" x14ac:dyDescent="0.25">
      <c r="A33" s="1" t="s">
        <v>348</v>
      </c>
      <c r="B33" s="38" t="str">
        <f t="shared" si="0"/>
        <v>CAP,CER,330NF,50V,X7R,CER508</v>
      </c>
      <c r="C33" s="2" t="s">
        <v>119</v>
      </c>
      <c r="D33" s="2" t="s">
        <v>44</v>
      </c>
      <c r="E33" s="2" t="s">
        <v>120</v>
      </c>
      <c r="F33" s="2" t="s">
        <v>15</v>
      </c>
      <c r="G33" s="2" t="s">
        <v>121</v>
      </c>
      <c r="H33" s="2" t="s">
        <v>15</v>
      </c>
      <c r="I33" s="2" t="s">
        <v>122</v>
      </c>
      <c r="J33" s="2" t="s">
        <v>135</v>
      </c>
      <c r="K33" s="2" t="s">
        <v>76</v>
      </c>
      <c r="L33" s="2" t="s">
        <v>59</v>
      </c>
      <c r="M33" s="2" t="s">
        <v>51</v>
      </c>
      <c r="N33" s="2" t="s">
        <v>136</v>
      </c>
    </row>
    <row r="34" spans="1:14" x14ac:dyDescent="0.25">
      <c r="A34" s="1" t="s">
        <v>349</v>
      </c>
      <c r="B34" s="38" t="str">
        <f t="shared" ref="B34:B65" si="1">_xlfn.CONCAT("CAP,",M34,",",J34,",",L34,",",K34,",",I34)</f>
        <v>CAP,CER,10PF,50V,X7R,CER508</v>
      </c>
      <c r="C34" s="2" t="s">
        <v>119</v>
      </c>
      <c r="D34" s="2" t="s">
        <v>44</v>
      </c>
      <c r="E34" s="2" t="s">
        <v>120</v>
      </c>
      <c r="F34" s="2" t="s">
        <v>15</v>
      </c>
      <c r="G34" s="2" t="s">
        <v>121</v>
      </c>
      <c r="H34" s="2" t="s">
        <v>15</v>
      </c>
      <c r="I34" s="2" t="s">
        <v>122</v>
      </c>
      <c r="J34" s="2" t="s">
        <v>137</v>
      </c>
      <c r="K34" s="2" t="s">
        <v>76</v>
      </c>
      <c r="L34" s="2" t="s">
        <v>59</v>
      </c>
      <c r="M34" s="2" t="s">
        <v>51</v>
      </c>
      <c r="N34" s="2" t="s">
        <v>138</v>
      </c>
    </row>
    <row r="35" spans="1:14" x14ac:dyDescent="0.25">
      <c r="A35" s="1" t="s">
        <v>350</v>
      </c>
      <c r="B35" s="38" t="str">
        <f t="shared" si="1"/>
        <v>CAP,CER,680NF,50V,X7R,CER508</v>
      </c>
      <c r="C35" s="2" t="s">
        <v>119</v>
      </c>
      <c r="D35" s="2" t="s">
        <v>44</v>
      </c>
      <c r="E35" s="2" t="s">
        <v>120</v>
      </c>
      <c r="F35" s="2" t="s">
        <v>15</v>
      </c>
      <c r="G35" s="2" t="s">
        <v>121</v>
      </c>
      <c r="H35" s="2" t="s">
        <v>15</v>
      </c>
      <c r="I35" s="2" t="s">
        <v>122</v>
      </c>
      <c r="J35" s="2" t="s">
        <v>139</v>
      </c>
      <c r="K35" s="2" t="s">
        <v>76</v>
      </c>
      <c r="L35" s="2" t="s">
        <v>59</v>
      </c>
      <c r="M35" s="2" t="s">
        <v>51</v>
      </c>
      <c r="N35" s="2" t="s">
        <v>140</v>
      </c>
    </row>
    <row r="36" spans="1:14" x14ac:dyDescent="0.25">
      <c r="A36" s="1" t="s">
        <v>351</v>
      </c>
      <c r="B36" s="38" t="str">
        <f t="shared" si="1"/>
        <v>CAP,CER,470NF,50V,X7R,CER508</v>
      </c>
      <c r="C36" s="2" t="s">
        <v>119</v>
      </c>
      <c r="D36" s="2" t="s">
        <v>44</v>
      </c>
      <c r="E36" s="2" t="s">
        <v>120</v>
      </c>
      <c r="F36" s="2" t="s">
        <v>15</v>
      </c>
      <c r="G36" s="2" t="s">
        <v>121</v>
      </c>
      <c r="H36" s="2" t="s">
        <v>15</v>
      </c>
      <c r="I36" s="2" t="s">
        <v>122</v>
      </c>
      <c r="J36" s="2" t="s">
        <v>141</v>
      </c>
      <c r="K36" s="2" t="s">
        <v>76</v>
      </c>
      <c r="L36" s="2" t="s">
        <v>59</v>
      </c>
      <c r="M36" s="2" t="s">
        <v>51</v>
      </c>
      <c r="N36" s="2" t="s">
        <v>142</v>
      </c>
    </row>
    <row r="37" spans="1:14" x14ac:dyDescent="0.25">
      <c r="A37" s="1" t="s">
        <v>352</v>
      </c>
      <c r="B37" s="38" t="str">
        <f t="shared" si="1"/>
        <v>CAP,CER,68NF,50V,X7R,CER508</v>
      </c>
      <c r="C37" s="2" t="s">
        <v>119</v>
      </c>
      <c r="D37" s="2" t="s">
        <v>44</v>
      </c>
      <c r="E37" s="2" t="s">
        <v>120</v>
      </c>
      <c r="F37" s="2" t="s">
        <v>15</v>
      </c>
      <c r="G37" s="2" t="s">
        <v>121</v>
      </c>
      <c r="H37" s="2" t="s">
        <v>15</v>
      </c>
      <c r="I37" s="2" t="s">
        <v>122</v>
      </c>
      <c r="J37" s="2" t="s">
        <v>143</v>
      </c>
      <c r="K37" s="2" t="s">
        <v>76</v>
      </c>
      <c r="L37" s="2" t="s">
        <v>59</v>
      </c>
      <c r="M37" s="2" t="s">
        <v>51</v>
      </c>
      <c r="N37" s="2" t="s">
        <v>144</v>
      </c>
    </row>
    <row r="38" spans="1:14" x14ac:dyDescent="0.25">
      <c r="A38" s="1" t="s">
        <v>353</v>
      </c>
      <c r="B38" s="38" t="str">
        <f t="shared" si="1"/>
        <v>CAP,CER,47NF,50V,X7R,CER508</v>
      </c>
      <c r="C38" s="2" t="s">
        <v>119</v>
      </c>
      <c r="D38" s="2" t="s">
        <v>44</v>
      </c>
      <c r="E38" s="2" t="s">
        <v>120</v>
      </c>
      <c r="F38" s="2" t="s">
        <v>15</v>
      </c>
      <c r="G38" s="2" t="s">
        <v>121</v>
      </c>
      <c r="H38" s="2" t="s">
        <v>15</v>
      </c>
      <c r="I38" s="2" t="s">
        <v>122</v>
      </c>
      <c r="J38" s="2" t="s">
        <v>114</v>
      </c>
      <c r="K38" s="2" t="s">
        <v>76</v>
      </c>
      <c r="L38" s="2" t="s">
        <v>59</v>
      </c>
      <c r="M38" s="2" t="s">
        <v>51</v>
      </c>
      <c r="N38" s="2" t="s">
        <v>145</v>
      </c>
    </row>
    <row r="39" spans="1:14" x14ac:dyDescent="0.25">
      <c r="A39" s="1" t="s">
        <v>354</v>
      </c>
      <c r="B39" s="38" t="str">
        <f t="shared" si="1"/>
        <v>CAP,CER,470NF,50V,X7R,CER508</v>
      </c>
      <c r="C39" s="2" t="s">
        <v>119</v>
      </c>
      <c r="D39" s="2" t="s">
        <v>44</v>
      </c>
      <c r="E39" s="2" t="s">
        <v>120</v>
      </c>
      <c r="F39" s="2" t="s">
        <v>15</v>
      </c>
      <c r="G39" s="2" t="s">
        <v>121</v>
      </c>
      <c r="H39" s="2" t="s">
        <v>15</v>
      </c>
      <c r="I39" s="2" t="s">
        <v>122</v>
      </c>
      <c r="J39" s="2" t="s">
        <v>141</v>
      </c>
      <c r="K39" s="2" t="s">
        <v>76</v>
      </c>
      <c r="L39" s="2" t="s">
        <v>59</v>
      </c>
      <c r="M39" s="2" t="s">
        <v>51</v>
      </c>
      <c r="N39" s="2" t="s">
        <v>146</v>
      </c>
    </row>
    <row r="40" spans="1:14" x14ac:dyDescent="0.25">
      <c r="A40" s="1" t="s">
        <v>355</v>
      </c>
      <c r="B40" s="38" t="str">
        <f t="shared" si="1"/>
        <v>CAP,CER,33NF,50V,X7R,CER508</v>
      </c>
      <c r="C40" s="2" t="s">
        <v>119</v>
      </c>
      <c r="D40" s="2" t="s">
        <v>44</v>
      </c>
      <c r="E40" s="2" t="s">
        <v>120</v>
      </c>
      <c r="F40" s="2" t="s">
        <v>15</v>
      </c>
      <c r="G40" s="2" t="s">
        <v>121</v>
      </c>
      <c r="H40" s="2" t="s">
        <v>15</v>
      </c>
      <c r="I40" s="2" t="s">
        <v>122</v>
      </c>
      <c r="J40" s="2" t="s">
        <v>147</v>
      </c>
      <c r="K40" s="2" t="s">
        <v>76</v>
      </c>
      <c r="L40" s="2" t="s">
        <v>59</v>
      </c>
      <c r="M40" s="2" t="s">
        <v>51</v>
      </c>
      <c r="N40" s="2" t="s">
        <v>148</v>
      </c>
    </row>
    <row r="41" spans="1:14" x14ac:dyDescent="0.25">
      <c r="A41" s="1" t="s">
        <v>356</v>
      </c>
      <c r="B41" s="38" t="str">
        <f t="shared" si="1"/>
        <v>CAP,CER,1NF,50V,X7R,CER508</v>
      </c>
      <c r="C41" s="2" t="s">
        <v>119</v>
      </c>
      <c r="D41" s="2" t="s">
        <v>44</v>
      </c>
      <c r="E41" s="2" t="s">
        <v>120</v>
      </c>
      <c r="F41" s="2" t="s">
        <v>15</v>
      </c>
      <c r="G41" s="2" t="s">
        <v>121</v>
      </c>
      <c r="H41" s="2" t="s">
        <v>15</v>
      </c>
      <c r="I41" s="2" t="s">
        <v>122</v>
      </c>
      <c r="J41" s="2" t="s">
        <v>110</v>
      </c>
      <c r="K41" s="2" t="s">
        <v>76</v>
      </c>
      <c r="L41" s="2" t="s">
        <v>59</v>
      </c>
      <c r="M41" s="2" t="s">
        <v>51</v>
      </c>
      <c r="N41" s="2" t="s">
        <v>149</v>
      </c>
    </row>
    <row r="42" spans="1:14" x14ac:dyDescent="0.25">
      <c r="A42" s="1" t="s">
        <v>357</v>
      </c>
      <c r="B42" s="38" t="str">
        <f t="shared" si="1"/>
        <v>CAP,CER,4U7,50V,X7R,CER508</v>
      </c>
      <c r="C42" s="2" t="s">
        <v>119</v>
      </c>
      <c r="D42" s="2" t="s">
        <v>44</v>
      </c>
      <c r="E42" s="2" t="s">
        <v>120</v>
      </c>
      <c r="F42" s="2" t="s">
        <v>15</v>
      </c>
      <c r="G42" s="2" t="s">
        <v>121</v>
      </c>
      <c r="H42" s="2" t="s">
        <v>15</v>
      </c>
      <c r="I42" s="2" t="s">
        <v>122</v>
      </c>
      <c r="J42" s="2" t="s">
        <v>150</v>
      </c>
      <c r="K42" s="2" t="s">
        <v>76</v>
      </c>
      <c r="L42" s="2" t="s">
        <v>59</v>
      </c>
      <c r="M42" s="2" t="s">
        <v>51</v>
      </c>
      <c r="N42" s="2" t="s">
        <v>151</v>
      </c>
    </row>
    <row r="43" spans="1:14" x14ac:dyDescent="0.25">
      <c r="A43" s="1" t="s">
        <v>358</v>
      </c>
      <c r="B43" s="38" t="str">
        <f t="shared" si="1"/>
        <v>CAP,CER,4U7,50V,X7R,CER508</v>
      </c>
      <c r="C43" s="2" t="s">
        <v>119</v>
      </c>
      <c r="D43" s="2" t="s">
        <v>44</v>
      </c>
      <c r="E43" s="2" t="s">
        <v>120</v>
      </c>
      <c r="F43" s="2" t="s">
        <v>15</v>
      </c>
      <c r="G43" s="2" t="s">
        <v>121</v>
      </c>
      <c r="H43" s="2" t="s">
        <v>15</v>
      </c>
      <c r="I43" s="2" t="s">
        <v>122</v>
      </c>
      <c r="J43" s="2" t="s">
        <v>150</v>
      </c>
      <c r="K43" s="2" t="s">
        <v>76</v>
      </c>
      <c r="L43" s="2" t="s">
        <v>59</v>
      </c>
      <c r="M43" s="2" t="s">
        <v>51</v>
      </c>
      <c r="N43" s="2" t="s">
        <v>152</v>
      </c>
    </row>
    <row r="44" spans="1:14" x14ac:dyDescent="0.25">
      <c r="A44" s="1" t="s">
        <v>359</v>
      </c>
      <c r="B44" s="38" t="str">
        <f t="shared" si="1"/>
        <v>CAP,CER,470NF,50V,X7R,CER508</v>
      </c>
      <c r="C44" s="2" t="s">
        <v>119</v>
      </c>
      <c r="D44" s="2" t="s">
        <v>44</v>
      </c>
      <c r="E44" s="2" t="s">
        <v>120</v>
      </c>
      <c r="F44" s="2" t="s">
        <v>15</v>
      </c>
      <c r="G44" s="2" t="s">
        <v>121</v>
      </c>
      <c r="H44" s="2" t="s">
        <v>15</v>
      </c>
      <c r="I44" s="2" t="s">
        <v>122</v>
      </c>
      <c r="J44" s="2" t="s">
        <v>141</v>
      </c>
      <c r="K44" s="2" t="s">
        <v>76</v>
      </c>
      <c r="L44" s="2" t="s">
        <v>59</v>
      </c>
      <c r="M44" s="2" t="s">
        <v>51</v>
      </c>
      <c r="N44" s="2" t="s">
        <v>153</v>
      </c>
    </row>
    <row r="45" spans="1:14" x14ac:dyDescent="0.25">
      <c r="A45" s="1" t="s">
        <v>360</v>
      </c>
      <c r="B45" s="38" t="str">
        <f t="shared" si="1"/>
        <v>CAP,CER,470NF,50V,X7R,CER508</v>
      </c>
      <c r="C45" s="2" t="s">
        <v>119</v>
      </c>
      <c r="D45" s="2" t="s">
        <v>44</v>
      </c>
      <c r="E45" s="2" t="s">
        <v>120</v>
      </c>
      <c r="F45" s="2" t="s">
        <v>15</v>
      </c>
      <c r="G45" s="2" t="s">
        <v>121</v>
      </c>
      <c r="H45" s="2" t="s">
        <v>15</v>
      </c>
      <c r="I45" s="2" t="s">
        <v>122</v>
      </c>
      <c r="J45" s="2" t="s">
        <v>141</v>
      </c>
      <c r="K45" s="2" t="s">
        <v>76</v>
      </c>
      <c r="L45" s="2" t="s">
        <v>59</v>
      </c>
      <c r="M45" s="2" t="s">
        <v>51</v>
      </c>
      <c r="N45" s="2" t="s">
        <v>154</v>
      </c>
    </row>
    <row r="46" spans="1:14" x14ac:dyDescent="0.25">
      <c r="A46" s="1" t="s">
        <v>361</v>
      </c>
      <c r="B46" s="38" t="str">
        <f t="shared" si="1"/>
        <v>CAP,CER,10UF,50V,X7R,CER508</v>
      </c>
      <c r="C46" s="2" t="s">
        <v>119</v>
      </c>
      <c r="D46" s="2" t="s">
        <v>44</v>
      </c>
      <c r="E46" s="2" t="s">
        <v>120</v>
      </c>
      <c r="F46" s="2" t="s">
        <v>15</v>
      </c>
      <c r="G46" s="2" t="s">
        <v>121</v>
      </c>
      <c r="H46" s="2" t="s">
        <v>15</v>
      </c>
      <c r="I46" s="2" t="s">
        <v>122</v>
      </c>
      <c r="J46" s="2" t="s">
        <v>155</v>
      </c>
      <c r="K46" s="2" t="s">
        <v>76</v>
      </c>
      <c r="L46" s="2" t="s">
        <v>59</v>
      </c>
      <c r="M46" s="2" t="s">
        <v>51</v>
      </c>
      <c r="N46" s="2" t="s">
        <v>156</v>
      </c>
    </row>
    <row r="47" spans="1:14" x14ac:dyDescent="0.25">
      <c r="A47" s="1" t="s">
        <v>362</v>
      </c>
      <c r="B47" s="38" t="str">
        <f t="shared" si="1"/>
        <v>CAP,CER,10UF,50V,X7R,CER508</v>
      </c>
      <c r="C47" s="2" t="s">
        <v>119</v>
      </c>
      <c r="D47" s="2" t="s">
        <v>44</v>
      </c>
      <c r="E47" s="2" t="s">
        <v>120</v>
      </c>
      <c r="F47" s="2" t="s">
        <v>15</v>
      </c>
      <c r="G47" s="2" t="s">
        <v>121</v>
      </c>
      <c r="H47" s="2" t="s">
        <v>15</v>
      </c>
      <c r="I47" s="2" t="s">
        <v>122</v>
      </c>
      <c r="J47" s="2" t="s">
        <v>155</v>
      </c>
      <c r="K47" s="2" t="s">
        <v>76</v>
      </c>
      <c r="L47" s="2" t="s">
        <v>59</v>
      </c>
      <c r="M47" s="2" t="s">
        <v>51</v>
      </c>
      <c r="N47" s="2" t="s">
        <v>157</v>
      </c>
    </row>
    <row r="48" spans="1:14" x14ac:dyDescent="0.25">
      <c r="A48" s="1" t="s">
        <v>363</v>
      </c>
      <c r="B48" s="38" t="str">
        <f t="shared" si="1"/>
        <v>CAP,CER,10UF,50V,X7R,CER508</v>
      </c>
      <c r="C48" s="2" t="s">
        <v>119</v>
      </c>
      <c r="D48" s="2" t="s">
        <v>44</v>
      </c>
      <c r="E48" s="2" t="s">
        <v>120</v>
      </c>
      <c r="F48" s="2" t="s">
        <v>15</v>
      </c>
      <c r="G48" s="2" t="s">
        <v>121</v>
      </c>
      <c r="H48" s="2" t="s">
        <v>15</v>
      </c>
      <c r="I48" s="2" t="s">
        <v>122</v>
      </c>
      <c r="J48" s="2" t="s">
        <v>155</v>
      </c>
      <c r="K48" s="2" t="s">
        <v>76</v>
      </c>
      <c r="L48" s="2" t="s">
        <v>59</v>
      </c>
      <c r="M48" s="2" t="s">
        <v>51</v>
      </c>
      <c r="N48" s="2" t="s">
        <v>158</v>
      </c>
    </row>
    <row r="49" spans="1:16" x14ac:dyDescent="0.25">
      <c r="A49" s="1" t="s">
        <v>364</v>
      </c>
      <c r="B49" s="38" t="str">
        <f t="shared" si="1"/>
        <v>CAP,CER,2U2,50V,X7R,CER508</v>
      </c>
      <c r="C49" s="2" t="s">
        <v>119</v>
      </c>
      <c r="D49" s="2" t="s">
        <v>44</v>
      </c>
      <c r="E49" s="2" t="s">
        <v>120</v>
      </c>
      <c r="F49" s="2" t="s">
        <v>15</v>
      </c>
      <c r="G49" s="2" t="s">
        <v>121</v>
      </c>
      <c r="H49" s="2" t="s">
        <v>15</v>
      </c>
      <c r="I49" s="2" t="s">
        <v>122</v>
      </c>
      <c r="J49" s="2" t="s">
        <v>159</v>
      </c>
      <c r="K49" s="2" t="s">
        <v>76</v>
      </c>
      <c r="L49" s="2" t="s">
        <v>59</v>
      </c>
      <c r="M49" s="2" t="s">
        <v>51</v>
      </c>
      <c r="N49" s="2" t="s">
        <v>160</v>
      </c>
    </row>
    <row r="50" spans="1:16" x14ac:dyDescent="0.25">
      <c r="A50" s="1" t="s">
        <v>365</v>
      </c>
      <c r="B50" s="38" t="str">
        <f t="shared" si="1"/>
        <v>CAP,CER,2U2,50V,X7R,CER508</v>
      </c>
      <c r="C50" s="2" t="s">
        <v>119</v>
      </c>
      <c r="D50" s="2" t="s">
        <v>44</v>
      </c>
      <c r="E50" s="2" t="s">
        <v>120</v>
      </c>
      <c r="F50" s="2" t="s">
        <v>15</v>
      </c>
      <c r="G50" s="2" t="s">
        <v>121</v>
      </c>
      <c r="H50" s="2" t="s">
        <v>15</v>
      </c>
      <c r="I50" s="2" t="s">
        <v>122</v>
      </c>
      <c r="J50" s="2" t="s">
        <v>159</v>
      </c>
      <c r="K50" s="2" t="s">
        <v>76</v>
      </c>
      <c r="L50" s="2" t="s">
        <v>59</v>
      </c>
      <c r="M50" s="2" t="s">
        <v>51</v>
      </c>
      <c r="N50" s="2" t="s">
        <v>161</v>
      </c>
    </row>
    <row r="51" spans="1:16" x14ac:dyDescent="0.25">
      <c r="A51" s="1" t="s">
        <v>366</v>
      </c>
      <c r="B51" s="38" t="str">
        <f t="shared" si="1"/>
        <v>CAP,CER,10NF,50V,X7R,CER508</v>
      </c>
      <c r="C51" s="2" t="s">
        <v>119</v>
      </c>
      <c r="D51" s="2" t="s">
        <v>44</v>
      </c>
      <c r="E51" s="2" t="s">
        <v>120</v>
      </c>
      <c r="F51" s="2" t="s">
        <v>15</v>
      </c>
      <c r="G51" s="2" t="s">
        <v>121</v>
      </c>
      <c r="H51" s="2" t="s">
        <v>15</v>
      </c>
      <c r="I51" s="2" t="s">
        <v>122</v>
      </c>
      <c r="J51" s="2" t="s">
        <v>116</v>
      </c>
      <c r="K51" s="2" t="s">
        <v>76</v>
      </c>
      <c r="L51" s="2" t="s">
        <v>59</v>
      </c>
      <c r="M51" s="2" t="s">
        <v>51</v>
      </c>
      <c r="N51" s="2" t="s">
        <v>162</v>
      </c>
    </row>
    <row r="52" spans="1:16" x14ac:dyDescent="0.25">
      <c r="A52" s="1" t="s">
        <v>367</v>
      </c>
      <c r="B52" s="38" t="str">
        <f t="shared" si="1"/>
        <v>CAP,CER,10NF,50V,X7R,CER508</v>
      </c>
      <c r="C52" s="2" t="s">
        <v>119</v>
      </c>
      <c r="D52" s="2" t="s">
        <v>44</v>
      </c>
      <c r="E52" s="2" t="s">
        <v>120</v>
      </c>
      <c r="F52" s="2" t="s">
        <v>15</v>
      </c>
      <c r="G52" s="2" t="s">
        <v>121</v>
      </c>
      <c r="H52" s="2" t="s">
        <v>15</v>
      </c>
      <c r="I52" s="2" t="s">
        <v>122</v>
      </c>
      <c r="J52" s="2" t="s">
        <v>116</v>
      </c>
      <c r="K52" s="2" t="s">
        <v>76</v>
      </c>
      <c r="L52" s="2" t="s">
        <v>59</v>
      </c>
      <c r="M52" s="2" t="s">
        <v>51</v>
      </c>
      <c r="N52" s="2" t="s">
        <v>163</v>
      </c>
    </row>
    <row r="53" spans="1:16" x14ac:dyDescent="0.25">
      <c r="A53" s="1" t="s">
        <v>368</v>
      </c>
      <c r="B53" s="38" t="str">
        <f t="shared" si="1"/>
        <v>CAP,CER,330PF,50V,X7R,CER508</v>
      </c>
      <c r="C53" s="2" t="s">
        <v>119</v>
      </c>
      <c r="D53" s="2" t="s">
        <v>44</v>
      </c>
      <c r="E53" s="2" t="s">
        <v>120</v>
      </c>
      <c r="F53" s="2" t="s">
        <v>15</v>
      </c>
      <c r="G53" s="2" t="s">
        <v>121</v>
      </c>
      <c r="H53" s="2" t="s">
        <v>15</v>
      </c>
      <c r="I53" s="2" t="s">
        <v>122</v>
      </c>
      <c r="J53" s="2" t="s">
        <v>164</v>
      </c>
      <c r="K53" s="2" t="s">
        <v>76</v>
      </c>
      <c r="L53" s="2" t="s">
        <v>59</v>
      </c>
      <c r="M53" s="2" t="s">
        <v>51</v>
      </c>
      <c r="N53" s="2" t="s">
        <v>165</v>
      </c>
    </row>
    <row r="54" spans="1:16" x14ac:dyDescent="0.25">
      <c r="A54" s="1" t="s">
        <v>369</v>
      </c>
      <c r="B54" s="38" t="str">
        <f t="shared" si="1"/>
        <v>CAP,AE,2200uF,25V,AE,D125 H350 P050</v>
      </c>
      <c r="C54" s="2" t="s">
        <v>166</v>
      </c>
      <c r="D54" s="2" t="s">
        <v>44</v>
      </c>
      <c r="E54" s="2" t="s">
        <v>15</v>
      </c>
      <c r="F54" s="2" t="s">
        <v>15</v>
      </c>
      <c r="G54" s="2" t="s">
        <v>22</v>
      </c>
      <c r="H54" s="2" t="s">
        <v>167</v>
      </c>
      <c r="I54" s="2" t="s">
        <v>168</v>
      </c>
      <c r="J54" s="2" t="s">
        <v>169</v>
      </c>
      <c r="K54" s="39" t="s">
        <v>170</v>
      </c>
      <c r="L54" s="2" t="s">
        <v>81</v>
      </c>
      <c r="M54" s="2" t="s">
        <v>170</v>
      </c>
      <c r="N54" s="2" t="s">
        <v>172</v>
      </c>
      <c r="P54" s="2" t="s">
        <v>171</v>
      </c>
    </row>
    <row r="55" spans="1:16" x14ac:dyDescent="0.25">
      <c r="A55" s="1" t="s">
        <v>370</v>
      </c>
      <c r="B55" s="38" t="str">
        <f t="shared" si="1"/>
        <v>CAP,FILM,150nF,50V,,BOX508</v>
      </c>
      <c r="C55" s="2" t="s">
        <v>53</v>
      </c>
      <c r="D55" s="2" t="s">
        <v>44</v>
      </c>
      <c r="E55" s="2" t="s">
        <v>15</v>
      </c>
      <c r="F55" s="2" t="s">
        <v>15</v>
      </c>
      <c r="G55" s="2" t="s">
        <v>22</v>
      </c>
      <c r="H55" s="2" t="s">
        <v>173</v>
      </c>
      <c r="I55" s="2" t="s">
        <v>56</v>
      </c>
      <c r="J55" s="2" t="s">
        <v>174</v>
      </c>
      <c r="K55" s="2"/>
      <c r="L55" s="2" t="s">
        <v>59</v>
      </c>
      <c r="M55" s="2" t="s">
        <v>60</v>
      </c>
      <c r="N55" s="2" t="s">
        <v>175</v>
      </c>
    </row>
    <row r="56" spans="1:16" x14ac:dyDescent="0.25">
      <c r="A56" s="1" t="s">
        <v>371</v>
      </c>
      <c r="B56" s="38" t="str">
        <f t="shared" si="1"/>
        <v>CAP,DISC,2n2,750VAC,Y5U,DISC950</v>
      </c>
      <c r="C56" s="2" t="s">
        <v>119</v>
      </c>
      <c r="D56" s="2" t="s">
        <v>44</v>
      </c>
      <c r="E56" s="2" t="s">
        <v>15</v>
      </c>
      <c r="F56" s="2" t="s">
        <v>15</v>
      </c>
      <c r="G56" s="2" t="s">
        <v>176</v>
      </c>
      <c r="H56" s="2" t="s">
        <v>177</v>
      </c>
      <c r="I56" s="2" t="s">
        <v>178</v>
      </c>
      <c r="J56" s="2" t="s">
        <v>179</v>
      </c>
      <c r="K56" s="2" t="s">
        <v>180</v>
      </c>
      <c r="L56" s="2" t="s">
        <v>181</v>
      </c>
      <c r="M56" s="2" t="s">
        <v>182</v>
      </c>
      <c r="N56" s="2" t="s">
        <v>183</v>
      </c>
    </row>
    <row r="57" spans="1:16" x14ac:dyDescent="0.25">
      <c r="A57" s="1" t="s">
        <v>372</v>
      </c>
      <c r="B57" s="38" t="str">
        <f t="shared" si="1"/>
        <v>CAP,FILM,0u47,420V,,BOX L180 H175 P150</v>
      </c>
      <c r="C57" s="2" t="s">
        <v>53</v>
      </c>
      <c r="D57" s="2" t="s">
        <v>44</v>
      </c>
      <c r="E57" s="2" t="s">
        <v>15</v>
      </c>
      <c r="F57" s="2" t="s">
        <v>15</v>
      </c>
      <c r="G57" s="2" t="s">
        <v>184</v>
      </c>
      <c r="H57" s="2" t="s">
        <v>185</v>
      </c>
      <c r="I57" s="2" t="s">
        <v>186</v>
      </c>
      <c r="J57" s="2" t="s">
        <v>187</v>
      </c>
      <c r="K57" s="2" t="s">
        <v>15</v>
      </c>
      <c r="L57" s="2" t="s">
        <v>188</v>
      </c>
      <c r="M57" s="2" t="s">
        <v>60</v>
      </c>
      <c r="N57" s="2" t="s">
        <v>189</v>
      </c>
    </row>
    <row r="58" spans="1:16" x14ac:dyDescent="0.25">
      <c r="A58" s="1" t="s">
        <v>373</v>
      </c>
      <c r="B58" s="38" t="str">
        <f t="shared" si="1"/>
        <v>CAP,FILM,1uF,63V,,BOX508</v>
      </c>
      <c r="C58" s="2" t="s">
        <v>53</v>
      </c>
      <c r="D58" s="2" t="s">
        <v>44</v>
      </c>
      <c r="E58" s="2" t="s">
        <v>54</v>
      </c>
      <c r="F58" s="2" t="s">
        <v>15</v>
      </c>
      <c r="G58" s="2" t="s">
        <v>184</v>
      </c>
      <c r="H58" s="2" t="s">
        <v>190</v>
      </c>
      <c r="I58" s="2" t="s">
        <v>56</v>
      </c>
      <c r="J58" s="2" t="s">
        <v>48</v>
      </c>
      <c r="K58" s="2" t="s">
        <v>15</v>
      </c>
      <c r="L58" s="2" t="s">
        <v>191</v>
      </c>
      <c r="M58" s="2" t="s">
        <v>60</v>
      </c>
      <c r="N58" s="2" t="s">
        <v>192</v>
      </c>
    </row>
    <row r="59" spans="1:16" x14ac:dyDescent="0.25">
      <c r="A59" s="1" t="s">
        <v>374</v>
      </c>
      <c r="B59" s="38" t="str">
        <f t="shared" si="1"/>
        <v>CAP,FILM,,,,BOX508</v>
      </c>
      <c r="C59" s="2" t="s">
        <v>53</v>
      </c>
      <c r="D59" s="2" t="s">
        <v>44</v>
      </c>
      <c r="E59" s="2" t="s">
        <v>54</v>
      </c>
      <c r="F59" s="2" t="s">
        <v>15</v>
      </c>
      <c r="G59" s="2" t="s">
        <v>184</v>
      </c>
      <c r="H59" s="2" t="s">
        <v>193</v>
      </c>
      <c r="I59" s="2" t="s">
        <v>56</v>
      </c>
      <c r="J59" s="2" t="s">
        <v>15</v>
      </c>
      <c r="K59" s="2" t="s">
        <v>15</v>
      </c>
      <c r="L59" s="2" t="s">
        <v>15</v>
      </c>
      <c r="M59" s="2" t="s">
        <v>60</v>
      </c>
      <c r="N59" s="2" t="s">
        <v>194</v>
      </c>
    </row>
    <row r="60" spans="1:16" x14ac:dyDescent="0.25">
      <c r="A60" s="1" t="s">
        <v>375</v>
      </c>
      <c r="B60" s="38" t="str">
        <f t="shared" si="1"/>
        <v>CAP,FILM,220nF,100V,,BOX508</v>
      </c>
      <c r="C60" s="2" t="s">
        <v>53</v>
      </c>
      <c r="D60" s="2" t="s">
        <v>44</v>
      </c>
      <c r="E60" s="2" t="s">
        <v>54</v>
      </c>
      <c r="F60" s="2" t="s">
        <v>15</v>
      </c>
      <c r="G60" s="2" t="s">
        <v>195</v>
      </c>
      <c r="H60" s="2" t="s">
        <v>196</v>
      </c>
      <c r="I60" s="2" t="s">
        <v>56</v>
      </c>
      <c r="J60" s="2" t="s">
        <v>197</v>
      </c>
      <c r="K60" s="2" t="s">
        <v>15</v>
      </c>
      <c r="L60" s="2" t="s">
        <v>198</v>
      </c>
      <c r="M60" s="2" t="s">
        <v>60</v>
      </c>
      <c r="N60" s="2" t="s">
        <v>199</v>
      </c>
    </row>
    <row r="61" spans="1:16" x14ac:dyDescent="0.25">
      <c r="A61" s="1" t="s">
        <v>376</v>
      </c>
      <c r="B61" s="38" t="str">
        <f t="shared" si="1"/>
        <v>CAP,AE,10uF,450V,AE,D160 H270 P075</v>
      </c>
      <c r="C61" s="2" t="s">
        <v>166</v>
      </c>
      <c r="D61" s="2" t="s">
        <v>44</v>
      </c>
      <c r="E61" s="2" t="s">
        <v>200</v>
      </c>
      <c r="F61" s="2" t="s">
        <v>15</v>
      </c>
      <c r="G61" s="2" t="s">
        <v>201</v>
      </c>
      <c r="H61" s="2" t="s">
        <v>202</v>
      </c>
      <c r="I61" s="2" t="s">
        <v>203</v>
      </c>
      <c r="J61" s="2" t="s">
        <v>84</v>
      </c>
      <c r="K61" s="39" t="s">
        <v>170</v>
      </c>
      <c r="L61" s="2" t="s">
        <v>204</v>
      </c>
      <c r="M61" s="2" t="s">
        <v>170</v>
      </c>
      <c r="N61" s="2" t="s">
        <v>205</v>
      </c>
    </row>
    <row r="62" spans="1:16" x14ac:dyDescent="0.25">
      <c r="A62" s="1" t="s">
        <v>377</v>
      </c>
      <c r="B62" s="38" t="str">
        <f t="shared" si="1"/>
        <v>CAP,POLY,100uF,35V,AP,D080 H095 P035</v>
      </c>
      <c r="C62" s="2" t="s">
        <v>206</v>
      </c>
      <c r="D62" s="2" t="s">
        <v>44</v>
      </c>
      <c r="E62" s="2" t="s">
        <v>15</v>
      </c>
      <c r="F62" s="2" t="s">
        <v>15</v>
      </c>
      <c r="G62" s="2" t="s">
        <v>22</v>
      </c>
      <c r="H62" s="2" t="s">
        <v>207</v>
      </c>
      <c r="I62" s="2" t="s">
        <v>208</v>
      </c>
      <c r="J62" s="2" t="s">
        <v>209</v>
      </c>
      <c r="K62" s="39" t="s">
        <v>4069</v>
      </c>
      <c r="L62" s="2" t="s">
        <v>210</v>
      </c>
      <c r="M62" s="2" t="s">
        <v>211</v>
      </c>
      <c r="N62" s="2" t="s">
        <v>212</v>
      </c>
    </row>
    <row r="63" spans="1:16" x14ac:dyDescent="0.25">
      <c r="A63" s="1" t="s">
        <v>378</v>
      </c>
      <c r="B63" s="38" t="str">
        <f t="shared" si="1"/>
        <v>CAP,POLY,10uF,63V,AP,D063 H060 P025</v>
      </c>
      <c r="C63" s="2" t="s">
        <v>206</v>
      </c>
      <c r="D63" s="2" t="s">
        <v>44</v>
      </c>
      <c r="E63" s="2" t="s">
        <v>15</v>
      </c>
      <c r="F63" s="2" t="s">
        <v>15</v>
      </c>
      <c r="G63" s="2" t="s">
        <v>72</v>
      </c>
      <c r="H63" s="2" t="s">
        <v>213</v>
      </c>
      <c r="I63" s="2" t="s">
        <v>214</v>
      </c>
      <c r="J63" s="2" t="s">
        <v>84</v>
      </c>
      <c r="K63" s="39" t="s">
        <v>4069</v>
      </c>
      <c r="L63" s="2" t="s">
        <v>191</v>
      </c>
      <c r="M63" s="2" t="s">
        <v>211</v>
      </c>
      <c r="N63" s="2" t="s">
        <v>215</v>
      </c>
    </row>
    <row r="64" spans="1:16" x14ac:dyDescent="0.25">
      <c r="A64" s="1" t="s">
        <v>379</v>
      </c>
      <c r="B64" s="38" t="str">
        <f t="shared" si="1"/>
        <v>CAP,POLY,4u7,250V,AP,D080 H130 P035</v>
      </c>
      <c r="C64" s="2" t="s">
        <v>206</v>
      </c>
      <c r="D64" s="2" t="s">
        <v>44</v>
      </c>
      <c r="E64" s="2" t="s">
        <v>15</v>
      </c>
      <c r="F64" s="2" t="s">
        <v>15</v>
      </c>
      <c r="G64" s="2" t="s">
        <v>72</v>
      </c>
      <c r="H64" s="2" t="s">
        <v>216</v>
      </c>
      <c r="I64" s="2" t="s">
        <v>217</v>
      </c>
      <c r="J64" s="2" t="s">
        <v>90</v>
      </c>
      <c r="K64" s="39" t="s">
        <v>4069</v>
      </c>
      <c r="L64" s="2" t="s">
        <v>218</v>
      </c>
      <c r="M64" s="2" t="s">
        <v>211</v>
      </c>
      <c r="N64" s="2" t="s">
        <v>219</v>
      </c>
    </row>
    <row r="65" spans="1:14" x14ac:dyDescent="0.25">
      <c r="A65" s="1" t="s">
        <v>380</v>
      </c>
      <c r="B65" s="38" t="str">
        <f t="shared" si="1"/>
        <v>CAP,FILM,47nF,50V,,BOX508</v>
      </c>
      <c r="C65" s="2" t="s">
        <v>53</v>
      </c>
      <c r="D65" s="2" t="s">
        <v>44</v>
      </c>
      <c r="E65" s="2" t="s">
        <v>54</v>
      </c>
      <c r="F65" s="2" t="s">
        <v>15</v>
      </c>
      <c r="G65" s="2" t="s">
        <v>22</v>
      </c>
      <c r="H65" s="2" t="s">
        <v>220</v>
      </c>
      <c r="I65" s="2" t="s">
        <v>56</v>
      </c>
      <c r="J65" s="2" t="s">
        <v>221</v>
      </c>
      <c r="K65" s="2" t="s">
        <v>15</v>
      </c>
      <c r="L65" s="2" t="s">
        <v>59</v>
      </c>
      <c r="M65" s="2" t="s">
        <v>60</v>
      </c>
      <c r="N65" s="2" t="s">
        <v>222</v>
      </c>
    </row>
    <row r="66" spans="1:14" x14ac:dyDescent="0.25">
      <c r="A66" s="1" t="s">
        <v>381</v>
      </c>
      <c r="B66" s="38" t="str">
        <f t="shared" ref="B66:B100" si="2">_xlfn.CONCAT("CAP,",M66,",",J66,",",L66,",",K66,",",I66)</f>
        <v>CAP,FILM,180nF,63V,,BOX750</v>
      </c>
      <c r="C66" s="2" t="s">
        <v>53</v>
      </c>
      <c r="D66" s="2" t="s">
        <v>44</v>
      </c>
      <c r="E66" s="2" t="s">
        <v>223</v>
      </c>
      <c r="F66" s="2" t="s">
        <v>15</v>
      </c>
      <c r="G66" s="2" t="s">
        <v>22</v>
      </c>
      <c r="H66" s="2" t="s">
        <v>224</v>
      </c>
      <c r="I66" s="2" t="s">
        <v>225</v>
      </c>
      <c r="J66" s="2" t="s">
        <v>226</v>
      </c>
      <c r="K66" s="2" t="s">
        <v>15</v>
      </c>
      <c r="L66" s="2" t="s">
        <v>191</v>
      </c>
      <c r="M66" s="2" t="s">
        <v>60</v>
      </c>
      <c r="N66" s="2" t="s">
        <v>227</v>
      </c>
    </row>
    <row r="67" spans="1:14" x14ac:dyDescent="0.25">
      <c r="A67" s="1" t="s">
        <v>382</v>
      </c>
      <c r="B67" s="38" t="str">
        <f t="shared" si="2"/>
        <v>CAP,FILM,330nF,63V,,BOX750</v>
      </c>
      <c r="C67" s="2" t="s">
        <v>53</v>
      </c>
      <c r="D67" s="2" t="s">
        <v>44</v>
      </c>
      <c r="E67" s="2" t="s">
        <v>15</v>
      </c>
      <c r="F67" s="2" t="s">
        <v>15</v>
      </c>
      <c r="G67" s="2" t="s">
        <v>22</v>
      </c>
      <c r="H67" s="2" t="s">
        <v>228</v>
      </c>
      <c r="I67" s="2" t="s">
        <v>225</v>
      </c>
      <c r="J67" s="2" t="s">
        <v>229</v>
      </c>
      <c r="K67" s="2" t="s">
        <v>15</v>
      </c>
      <c r="L67" s="2" t="s">
        <v>191</v>
      </c>
      <c r="M67" s="2" t="s">
        <v>60</v>
      </c>
      <c r="N67" s="2" t="s">
        <v>230</v>
      </c>
    </row>
    <row r="68" spans="1:14" x14ac:dyDescent="0.25">
      <c r="A68" s="1" t="s">
        <v>383</v>
      </c>
      <c r="B68" s="38" t="str">
        <f t="shared" si="2"/>
        <v>CAP,CER,47nF,50V,X7R,TH508</v>
      </c>
      <c r="C68" s="2" t="s">
        <v>119</v>
      </c>
      <c r="D68" s="2" t="s">
        <v>44</v>
      </c>
      <c r="E68" s="2" t="s">
        <v>15</v>
      </c>
      <c r="F68" s="2" t="s">
        <v>15</v>
      </c>
      <c r="G68" s="2" t="s">
        <v>121</v>
      </c>
      <c r="H68" s="2" t="s">
        <v>15</v>
      </c>
      <c r="I68" s="2" t="s">
        <v>231</v>
      </c>
      <c r="J68" s="2" t="s">
        <v>221</v>
      </c>
      <c r="K68" s="2" t="s">
        <v>76</v>
      </c>
      <c r="L68" s="2" t="s">
        <v>59</v>
      </c>
      <c r="M68" s="2" t="s">
        <v>51</v>
      </c>
      <c r="N68" s="2" t="s">
        <v>232</v>
      </c>
    </row>
    <row r="69" spans="1:14" x14ac:dyDescent="0.25">
      <c r="A69" s="1" t="s">
        <v>384</v>
      </c>
      <c r="B69" s="38" t="str">
        <f t="shared" si="2"/>
        <v>CAP,CER,100nF,50V,X7R,TH508</v>
      </c>
      <c r="C69" s="2" t="s">
        <v>119</v>
      </c>
      <c r="D69" s="2" t="s">
        <v>44</v>
      </c>
      <c r="E69" s="2" t="s">
        <v>15</v>
      </c>
      <c r="F69" s="2" t="s">
        <v>15</v>
      </c>
      <c r="G69" s="2" t="s">
        <v>121</v>
      </c>
      <c r="H69" s="2" t="s">
        <v>15</v>
      </c>
      <c r="I69" s="2" t="s">
        <v>231</v>
      </c>
      <c r="J69" s="2" t="s">
        <v>80</v>
      </c>
      <c r="K69" s="2" t="s">
        <v>76</v>
      </c>
      <c r="L69" s="2" t="s">
        <v>59</v>
      </c>
      <c r="M69" s="2" t="s">
        <v>51</v>
      </c>
      <c r="N69" s="2" t="s">
        <v>233</v>
      </c>
    </row>
    <row r="70" spans="1:14" x14ac:dyDescent="0.25">
      <c r="A70" s="1" t="s">
        <v>385</v>
      </c>
      <c r="B70" s="38" t="str">
        <f t="shared" si="2"/>
        <v>CAP,CER,1uF,50V,X7R,TH508</v>
      </c>
      <c r="C70" s="2" t="s">
        <v>119</v>
      </c>
      <c r="D70" s="2" t="s">
        <v>44</v>
      </c>
      <c r="E70" s="2" t="s">
        <v>15</v>
      </c>
      <c r="F70" s="2" t="s">
        <v>15</v>
      </c>
      <c r="G70" s="2" t="s">
        <v>121</v>
      </c>
      <c r="H70" s="2" t="s">
        <v>15</v>
      </c>
      <c r="I70" s="2" t="s">
        <v>231</v>
      </c>
      <c r="J70" s="2" t="s">
        <v>48</v>
      </c>
      <c r="K70" s="2" t="s">
        <v>76</v>
      </c>
      <c r="L70" s="2" t="s">
        <v>59</v>
      </c>
      <c r="M70" s="2" t="s">
        <v>51</v>
      </c>
      <c r="N70" s="2" t="s">
        <v>234</v>
      </c>
    </row>
    <row r="71" spans="1:14" x14ac:dyDescent="0.25">
      <c r="A71" s="1" t="s">
        <v>386</v>
      </c>
      <c r="B71" s="38" t="str">
        <f t="shared" si="2"/>
        <v>CAP,CER,100nF,25V,X7R,0805</v>
      </c>
      <c r="C71" s="2" t="s">
        <v>119</v>
      </c>
      <c r="D71" s="2" t="s">
        <v>44</v>
      </c>
      <c r="E71" s="2" t="s">
        <v>15</v>
      </c>
      <c r="F71" s="2" t="s">
        <v>15</v>
      </c>
      <c r="G71" s="2" t="s">
        <v>45</v>
      </c>
      <c r="H71" s="2" t="s">
        <v>235</v>
      </c>
      <c r="I71" s="2" t="s">
        <v>47</v>
      </c>
      <c r="J71" s="2" t="s">
        <v>80</v>
      </c>
      <c r="K71" s="2" t="s">
        <v>76</v>
      </c>
      <c r="L71" s="2" t="s">
        <v>81</v>
      </c>
      <c r="M71" s="2" t="s">
        <v>51</v>
      </c>
      <c r="N71" s="2" t="s">
        <v>236</v>
      </c>
    </row>
    <row r="72" spans="1:14" x14ac:dyDescent="0.25">
      <c r="A72" s="1" t="s">
        <v>387</v>
      </c>
      <c r="B72" s="38" t="str">
        <f t="shared" si="2"/>
        <v>CAP,FILM,220nF,63V,,BOX508</v>
      </c>
      <c r="C72" s="2" t="s">
        <v>53</v>
      </c>
      <c r="D72" s="2" t="s">
        <v>44</v>
      </c>
      <c r="E72" s="2" t="s">
        <v>54</v>
      </c>
      <c r="F72" s="2" t="s">
        <v>15</v>
      </c>
      <c r="G72" s="2" t="s">
        <v>237</v>
      </c>
      <c r="H72" s="2" t="s">
        <v>238</v>
      </c>
      <c r="I72" s="2" t="s">
        <v>56</v>
      </c>
      <c r="J72" s="2" t="s">
        <v>197</v>
      </c>
      <c r="K72" s="2" t="s">
        <v>15</v>
      </c>
      <c r="L72" s="2" t="s">
        <v>191</v>
      </c>
      <c r="M72" s="2" t="s">
        <v>60</v>
      </c>
      <c r="N72" s="2" t="s">
        <v>239</v>
      </c>
    </row>
    <row r="73" spans="1:14" x14ac:dyDescent="0.25">
      <c r="A73" s="1" t="s">
        <v>388</v>
      </c>
      <c r="B73" s="38" t="str">
        <f t="shared" si="2"/>
        <v>CAP,FILM,470nF,63V,,BOX508</v>
      </c>
      <c r="C73" s="2" t="s">
        <v>53</v>
      </c>
      <c r="D73" s="2" t="s">
        <v>44</v>
      </c>
      <c r="E73" s="2" t="s">
        <v>54</v>
      </c>
      <c r="F73" s="2" t="s">
        <v>15</v>
      </c>
      <c r="G73" s="2" t="s">
        <v>240</v>
      </c>
      <c r="H73" s="2" t="s">
        <v>241</v>
      </c>
      <c r="I73" s="2" t="s">
        <v>56</v>
      </c>
      <c r="J73" s="2" t="s">
        <v>242</v>
      </c>
      <c r="K73" s="2" t="s">
        <v>15</v>
      </c>
      <c r="L73" s="2" t="s">
        <v>191</v>
      </c>
      <c r="M73" s="2" t="s">
        <v>60</v>
      </c>
      <c r="N73" s="2" t="s">
        <v>243</v>
      </c>
    </row>
    <row r="74" spans="1:14" x14ac:dyDescent="0.25">
      <c r="A74" s="1" t="s">
        <v>389</v>
      </c>
      <c r="B74" s="38" t="str">
        <f t="shared" si="2"/>
        <v>CAP,FILM,470nF,63V,,BOX508</v>
      </c>
      <c r="C74" s="2" t="s">
        <v>53</v>
      </c>
      <c r="D74" s="2" t="s">
        <v>44</v>
      </c>
      <c r="E74" s="2" t="s">
        <v>54</v>
      </c>
      <c r="F74" s="2" t="s">
        <v>15</v>
      </c>
      <c r="G74" s="2" t="s">
        <v>244</v>
      </c>
      <c r="H74" s="2" t="s">
        <v>245</v>
      </c>
      <c r="I74" s="2" t="s">
        <v>56</v>
      </c>
      <c r="J74" s="2" t="s">
        <v>242</v>
      </c>
      <c r="K74" s="2" t="s">
        <v>15</v>
      </c>
      <c r="L74" s="2" t="s">
        <v>191</v>
      </c>
      <c r="M74" s="2" t="s">
        <v>60</v>
      </c>
      <c r="N74" s="2" t="s">
        <v>246</v>
      </c>
    </row>
    <row r="75" spans="1:14" x14ac:dyDescent="0.25">
      <c r="A75" s="1" t="s">
        <v>390</v>
      </c>
      <c r="B75" s="38" t="str">
        <f t="shared" si="2"/>
        <v>CAP,FILM,220nF,63V,,BOX508</v>
      </c>
      <c r="C75" s="2" t="s">
        <v>53</v>
      </c>
      <c r="D75" s="2" t="s">
        <v>44</v>
      </c>
      <c r="E75" s="2" t="s">
        <v>54</v>
      </c>
      <c r="F75" s="2" t="s">
        <v>15</v>
      </c>
      <c r="G75" s="2" t="s">
        <v>247</v>
      </c>
      <c r="H75" s="2" t="s">
        <v>248</v>
      </c>
      <c r="I75" s="2" t="s">
        <v>56</v>
      </c>
      <c r="J75" s="2" t="s">
        <v>197</v>
      </c>
      <c r="K75" s="2" t="s">
        <v>15</v>
      </c>
      <c r="L75" s="2" t="s">
        <v>191</v>
      </c>
      <c r="M75" s="2" t="s">
        <v>60</v>
      </c>
      <c r="N75" s="2" t="s">
        <v>249</v>
      </c>
    </row>
    <row r="76" spans="1:14" x14ac:dyDescent="0.25">
      <c r="A76" s="1" t="s">
        <v>391</v>
      </c>
      <c r="B76" s="38" t="str">
        <f t="shared" si="2"/>
        <v>CAP,FILM,470nF,100V,,BOX508</v>
      </c>
      <c r="C76" s="2" t="s">
        <v>53</v>
      </c>
      <c r="D76" s="2" t="s">
        <v>44</v>
      </c>
      <c r="E76" s="2" t="s">
        <v>54</v>
      </c>
      <c r="F76" s="2" t="s">
        <v>15</v>
      </c>
      <c r="G76" s="2" t="s">
        <v>247</v>
      </c>
      <c r="H76" s="2" t="s">
        <v>250</v>
      </c>
      <c r="I76" s="2" t="s">
        <v>56</v>
      </c>
      <c r="J76" s="2" t="s">
        <v>242</v>
      </c>
      <c r="K76" s="2" t="s">
        <v>15</v>
      </c>
      <c r="L76" s="2" t="s">
        <v>198</v>
      </c>
      <c r="M76" s="2" t="s">
        <v>60</v>
      </c>
      <c r="N76" s="2" t="s">
        <v>251</v>
      </c>
    </row>
    <row r="77" spans="1:14" x14ac:dyDescent="0.25">
      <c r="A77" s="1" t="s">
        <v>392</v>
      </c>
      <c r="B77" s="38" t="str">
        <f t="shared" si="2"/>
        <v>CAP,FILM,1uF,630VDC,,BOX L180 H185 P150</v>
      </c>
      <c r="C77" s="2" t="s">
        <v>53</v>
      </c>
      <c r="D77" s="2" t="s">
        <v>44</v>
      </c>
      <c r="E77" s="2" t="s">
        <v>15</v>
      </c>
      <c r="F77" s="2" t="s">
        <v>15</v>
      </c>
      <c r="G77" s="2" t="s">
        <v>252</v>
      </c>
      <c r="H77" s="2" t="s">
        <v>253</v>
      </c>
      <c r="I77" s="2" t="s">
        <v>254</v>
      </c>
      <c r="J77" s="2" t="s">
        <v>48</v>
      </c>
      <c r="K77" s="2" t="s">
        <v>15</v>
      </c>
      <c r="L77" s="2" t="s">
        <v>255</v>
      </c>
      <c r="M77" s="2" t="s">
        <v>60</v>
      </c>
      <c r="N77" s="2" t="s">
        <v>256</v>
      </c>
    </row>
    <row r="78" spans="1:14" x14ac:dyDescent="0.25">
      <c r="A78" s="1" t="s">
        <v>393</v>
      </c>
      <c r="B78" s="38" t="str">
        <f t="shared" si="2"/>
        <v>CAP,FILM,470nF,63V,,BOX508</v>
      </c>
      <c r="C78" s="2" t="s">
        <v>53</v>
      </c>
      <c r="D78" s="2" t="s">
        <v>44</v>
      </c>
      <c r="E78" s="2" t="s">
        <v>54</v>
      </c>
      <c r="F78" s="2" t="s">
        <v>15</v>
      </c>
      <c r="G78" s="2" t="s">
        <v>252</v>
      </c>
      <c r="H78" s="2" t="s">
        <v>257</v>
      </c>
      <c r="I78" s="2" t="s">
        <v>56</v>
      </c>
      <c r="J78" s="2" t="s">
        <v>242</v>
      </c>
      <c r="K78" s="2" t="s">
        <v>15</v>
      </c>
      <c r="L78" s="2" t="s">
        <v>191</v>
      </c>
      <c r="M78" s="2" t="s">
        <v>60</v>
      </c>
      <c r="N78" s="2" t="s">
        <v>258</v>
      </c>
    </row>
    <row r="79" spans="1:14" x14ac:dyDescent="0.25">
      <c r="A79" s="1" t="s">
        <v>394</v>
      </c>
      <c r="B79" s="38" t="str">
        <f t="shared" si="2"/>
        <v>CAP,FILM,1uF,63V,,BOX508</v>
      </c>
      <c r="C79" s="2" t="s">
        <v>53</v>
      </c>
      <c r="D79" s="2" t="s">
        <v>44</v>
      </c>
      <c r="E79" s="2" t="s">
        <v>54</v>
      </c>
      <c r="F79" s="2" t="s">
        <v>15</v>
      </c>
      <c r="G79" s="2" t="s">
        <v>184</v>
      </c>
      <c r="H79" s="2" t="s">
        <v>15</v>
      </c>
      <c r="I79" s="2" t="s">
        <v>56</v>
      </c>
      <c r="J79" s="2" t="s">
        <v>48</v>
      </c>
      <c r="K79" s="2" t="s">
        <v>15</v>
      </c>
      <c r="L79" s="2" t="s">
        <v>191</v>
      </c>
      <c r="M79" s="2" t="s">
        <v>60</v>
      </c>
      <c r="N79" s="2" t="s">
        <v>259</v>
      </c>
    </row>
    <row r="80" spans="1:14" x14ac:dyDescent="0.25">
      <c r="A80" s="1" t="s">
        <v>395</v>
      </c>
      <c r="B80" s="38" t="str">
        <f t="shared" si="2"/>
        <v>CAP,FILM,470NF,63V,,BOX508</v>
      </c>
      <c r="C80" s="2" t="s">
        <v>53</v>
      </c>
      <c r="D80" s="2" t="s">
        <v>44</v>
      </c>
      <c r="E80" s="2" t="s">
        <v>54</v>
      </c>
      <c r="F80" s="2" t="s">
        <v>15</v>
      </c>
      <c r="G80" s="2" t="s">
        <v>184</v>
      </c>
      <c r="H80" s="2" t="s">
        <v>260</v>
      </c>
      <c r="I80" s="2" t="s">
        <v>56</v>
      </c>
      <c r="J80" s="2" t="s">
        <v>141</v>
      </c>
      <c r="K80" s="2" t="s">
        <v>15</v>
      </c>
      <c r="L80" s="2" t="s">
        <v>191</v>
      </c>
      <c r="M80" s="2" t="s">
        <v>60</v>
      </c>
      <c r="N80" s="2" t="s">
        <v>261</v>
      </c>
    </row>
    <row r="81" spans="1:14" x14ac:dyDescent="0.25">
      <c r="A81" s="1" t="s">
        <v>396</v>
      </c>
      <c r="B81" s="38" t="str">
        <f t="shared" si="2"/>
        <v>CAP,AE,1000uF,35V,AE,D125 H250 P50</v>
      </c>
      <c r="C81" s="2" t="s">
        <v>166</v>
      </c>
      <c r="D81" s="2" t="s">
        <v>44</v>
      </c>
      <c r="E81" s="2" t="s">
        <v>15</v>
      </c>
      <c r="F81" s="2" t="s">
        <v>15</v>
      </c>
      <c r="G81" s="2" t="s">
        <v>95</v>
      </c>
      <c r="H81" s="2" t="s">
        <v>262</v>
      </c>
      <c r="I81" s="2" t="s">
        <v>263</v>
      </c>
      <c r="J81" s="2" t="s">
        <v>264</v>
      </c>
      <c r="K81" s="39" t="s">
        <v>170</v>
      </c>
      <c r="L81" s="2" t="s">
        <v>210</v>
      </c>
      <c r="M81" s="2" t="s">
        <v>170</v>
      </c>
      <c r="N81" s="2" t="s">
        <v>265</v>
      </c>
    </row>
    <row r="82" spans="1:14" x14ac:dyDescent="0.25">
      <c r="A82" s="1" t="s">
        <v>397</v>
      </c>
      <c r="B82" s="38" t="str">
        <f t="shared" si="2"/>
        <v>CAP,AE,0F22,3V3,AE,</v>
      </c>
      <c r="C82" s="2" t="s">
        <v>15</v>
      </c>
      <c r="D82" s="2" t="s">
        <v>15</v>
      </c>
      <c r="E82" s="2" t="s">
        <v>15</v>
      </c>
      <c r="F82" s="2" t="s">
        <v>15</v>
      </c>
      <c r="G82" s="2" t="s">
        <v>266</v>
      </c>
      <c r="H82" s="2" t="s">
        <v>267</v>
      </c>
      <c r="I82" s="2" t="s">
        <v>15</v>
      </c>
      <c r="J82" s="2" t="s">
        <v>268</v>
      </c>
      <c r="K82" s="39" t="s">
        <v>170</v>
      </c>
      <c r="L82" s="2" t="s">
        <v>269</v>
      </c>
      <c r="M82" s="2" t="s">
        <v>170</v>
      </c>
      <c r="N82" s="2" t="s">
        <v>270</v>
      </c>
    </row>
    <row r="83" spans="1:14" x14ac:dyDescent="0.25">
      <c r="A83" s="1" t="s">
        <v>398</v>
      </c>
      <c r="B83" s="38" t="str">
        <f t="shared" si="2"/>
        <v>CAP,AE,47UF,16V,AE,</v>
      </c>
      <c r="C83" s="2" t="s">
        <v>15</v>
      </c>
      <c r="D83" s="2" t="s">
        <v>15</v>
      </c>
      <c r="E83" s="2" t="s">
        <v>15</v>
      </c>
      <c r="F83" s="2" t="s">
        <v>15</v>
      </c>
      <c r="G83" s="2" t="s">
        <v>22</v>
      </c>
      <c r="H83" s="2" t="s">
        <v>271</v>
      </c>
      <c r="I83" s="2" t="s">
        <v>15</v>
      </c>
      <c r="J83" s="2" t="s">
        <v>272</v>
      </c>
      <c r="K83" s="39" t="s">
        <v>170</v>
      </c>
      <c r="L83" s="2" t="s">
        <v>91</v>
      </c>
      <c r="M83" s="2" t="s">
        <v>170</v>
      </c>
      <c r="N83" s="2" t="s">
        <v>273</v>
      </c>
    </row>
    <row r="84" spans="1:14" x14ac:dyDescent="0.25">
      <c r="A84" s="1" t="s">
        <v>399</v>
      </c>
      <c r="B84" s="38" t="str">
        <f t="shared" si="2"/>
        <v>CAP,CER,22uF,10V,X5R,</v>
      </c>
      <c r="C84" s="2" t="s">
        <v>15</v>
      </c>
      <c r="D84" s="2" t="s">
        <v>15</v>
      </c>
      <c r="E84" s="2" t="s">
        <v>15</v>
      </c>
      <c r="F84" s="2" t="s">
        <v>15</v>
      </c>
      <c r="G84" s="2" t="s">
        <v>274</v>
      </c>
      <c r="H84" s="2" t="s">
        <v>275</v>
      </c>
      <c r="I84" s="2" t="s">
        <v>15</v>
      </c>
      <c r="J84" s="2" t="s">
        <v>276</v>
      </c>
      <c r="K84" s="2" t="s">
        <v>49</v>
      </c>
      <c r="L84" s="2" t="s">
        <v>50</v>
      </c>
      <c r="M84" s="2" t="s">
        <v>51</v>
      </c>
      <c r="N84" s="2" t="s">
        <v>277</v>
      </c>
    </row>
    <row r="85" spans="1:14" x14ac:dyDescent="0.25">
      <c r="A85" s="1" t="s">
        <v>400</v>
      </c>
      <c r="B85" s="38" t="str">
        <f t="shared" si="2"/>
        <v>CAP,CER,10uF,10V,X5R,</v>
      </c>
      <c r="C85" s="2" t="s">
        <v>15</v>
      </c>
      <c r="D85" s="2" t="s">
        <v>15</v>
      </c>
      <c r="E85" s="2" t="s">
        <v>15</v>
      </c>
      <c r="F85" s="2" t="s">
        <v>15</v>
      </c>
      <c r="G85" s="2" t="s">
        <v>15</v>
      </c>
      <c r="H85" s="2" t="s">
        <v>278</v>
      </c>
      <c r="I85" s="2" t="s">
        <v>15</v>
      </c>
      <c r="J85" s="2" t="s">
        <v>84</v>
      </c>
      <c r="K85" s="2" t="s">
        <v>49</v>
      </c>
      <c r="L85" s="2" t="s">
        <v>50</v>
      </c>
      <c r="M85" s="2" t="s">
        <v>51</v>
      </c>
      <c r="N85" s="2" t="s">
        <v>279</v>
      </c>
    </row>
    <row r="86" spans="1:14" x14ac:dyDescent="0.25">
      <c r="A86" s="1" t="s">
        <v>401</v>
      </c>
      <c r="B86" s="38" t="str">
        <f t="shared" si="2"/>
        <v>CAP,,,,,</v>
      </c>
      <c r="C86" s="2" t="s">
        <v>15</v>
      </c>
      <c r="D86" s="2" t="s">
        <v>15</v>
      </c>
      <c r="E86" s="2" t="s">
        <v>15</v>
      </c>
      <c r="F86" s="2" t="s">
        <v>15</v>
      </c>
      <c r="G86" s="2" t="s">
        <v>15</v>
      </c>
      <c r="H86" s="2" t="s">
        <v>280</v>
      </c>
      <c r="I86" s="2" t="s">
        <v>15</v>
      </c>
      <c r="J86" s="2" t="s">
        <v>15</v>
      </c>
      <c r="K86" s="2" t="s">
        <v>15</v>
      </c>
      <c r="L86" s="2" t="s">
        <v>15</v>
      </c>
      <c r="M86" s="2" t="s">
        <v>15</v>
      </c>
      <c r="N86" s="2" t="s">
        <v>281</v>
      </c>
    </row>
    <row r="87" spans="1:14" x14ac:dyDescent="0.25">
      <c r="A87" s="1" t="s">
        <v>402</v>
      </c>
      <c r="B87" s="38" t="str">
        <f t="shared" si="2"/>
        <v>CAP,,,,,</v>
      </c>
      <c r="C87" s="2" t="s">
        <v>15</v>
      </c>
      <c r="D87" s="2" t="s">
        <v>15</v>
      </c>
      <c r="E87" s="2" t="s">
        <v>15</v>
      </c>
      <c r="F87" s="2" t="s">
        <v>15</v>
      </c>
      <c r="G87" s="2" t="s">
        <v>15</v>
      </c>
      <c r="H87" s="2" t="s">
        <v>282</v>
      </c>
      <c r="I87" s="2" t="s">
        <v>15</v>
      </c>
      <c r="J87" s="2" t="s">
        <v>15</v>
      </c>
      <c r="K87" s="2" t="s">
        <v>15</v>
      </c>
      <c r="L87" s="2" t="s">
        <v>15</v>
      </c>
      <c r="M87" s="2" t="s">
        <v>15</v>
      </c>
      <c r="N87" s="2" t="s">
        <v>283</v>
      </c>
    </row>
    <row r="88" spans="1:14" x14ac:dyDescent="0.25">
      <c r="A88" s="1" t="s">
        <v>403</v>
      </c>
      <c r="B88" s="38" t="str">
        <f t="shared" si="2"/>
        <v>CAP,CER,10UF,6V3,X5R,</v>
      </c>
      <c r="C88" s="2" t="s">
        <v>15</v>
      </c>
      <c r="D88" s="2" t="s">
        <v>15</v>
      </c>
      <c r="E88" s="2" t="s">
        <v>15</v>
      </c>
      <c r="F88" s="2" t="s">
        <v>15</v>
      </c>
      <c r="G88" s="2" t="s">
        <v>15</v>
      </c>
      <c r="H88" s="2" t="s">
        <v>284</v>
      </c>
      <c r="I88" s="2" t="s">
        <v>15</v>
      </c>
      <c r="J88" s="2" t="s">
        <v>155</v>
      </c>
      <c r="K88" s="2" t="s">
        <v>49</v>
      </c>
      <c r="L88" s="2" t="s">
        <v>285</v>
      </c>
      <c r="M88" s="2" t="s">
        <v>51</v>
      </c>
      <c r="N88" s="2" t="s">
        <v>286</v>
      </c>
    </row>
    <row r="89" spans="1:14" x14ac:dyDescent="0.25">
      <c r="A89" s="1" t="s">
        <v>404</v>
      </c>
      <c r="B89" s="38" t="str">
        <f t="shared" si="2"/>
        <v>CAP,,,,,</v>
      </c>
      <c r="C89" s="2" t="s">
        <v>15</v>
      </c>
      <c r="D89" s="2" t="s">
        <v>15</v>
      </c>
      <c r="E89" s="2" t="s">
        <v>15</v>
      </c>
      <c r="F89" s="2" t="s">
        <v>15</v>
      </c>
      <c r="G89" s="2" t="s">
        <v>15</v>
      </c>
      <c r="H89" s="2" t="s">
        <v>287</v>
      </c>
      <c r="I89" s="2" t="s">
        <v>15</v>
      </c>
      <c r="J89" s="2" t="s">
        <v>15</v>
      </c>
      <c r="K89" s="2" t="s">
        <v>15</v>
      </c>
      <c r="L89" s="2" t="s">
        <v>15</v>
      </c>
      <c r="M89" s="2" t="s">
        <v>15</v>
      </c>
      <c r="N89" s="2" t="s">
        <v>288</v>
      </c>
    </row>
    <row r="90" spans="1:14" x14ac:dyDescent="0.25">
      <c r="A90" s="1" t="s">
        <v>405</v>
      </c>
      <c r="B90" s="38" t="str">
        <f t="shared" si="2"/>
        <v>CAP,,,,,</v>
      </c>
      <c r="C90" s="2" t="s">
        <v>15</v>
      </c>
      <c r="D90" s="2" t="s">
        <v>15</v>
      </c>
      <c r="E90" s="2" t="s">
        <v>15</v>
      </c>
      <c r="F90" s="2" t="s">
        <v>15</v>
      </c>
      <c r="G90" s="2" t="s">
        <v>15</v>
      </c>
      <c r="H90" s="2" t="s">
        <v>289</v>
      </c>
      <c r="I90" s="2" t="s">
        <v>15</v>
      </c>
      <c r="J90" s="2" t="s">
        <v>15</v>
      </c>
      <c r="K90" s="2" t="s">
        <v>15</v>
      </c>
      <c r="L90" s="2" t="s">
        <v>15</v>
      </c>
      <c r="M90" s="2" t="s">
        <v>15</v>
      </c>
      <c r="N90" s="2" t="s">
        <v>290</v>
      </c>
    </row>
    <row r="91" spans="1:14" x14ac:dyDescent="0.25">
      <c r="A91" s="1" t="s">
        <v>406</v>
      </c>
      <c r="B91" s="38" t="str">
        <f t="shared" si="2"/>
        <v>CAP,,,,,</v>
      </c>
      <c r="C91" s="2" t="s">
        <v>15</v>
      </c>
      <c r="D91" s="2" t="s">
        <v>15</v>
      </c>
      <c r="E91" s="2" t="s">
        <v>15</v>
      </c>
      <c r="F91" s="2" t="s">
        <v>15</v>
      </c>
      <c r="G91" s="2" t="s">
        <v>15</v>
      </c>
      <c r="H91" s="2" t="s">
        <v>291</v>
      </c>
      <c r="I91" s="2" t="s">
        <v>15</v>
      </c>
      <c r="J91" s="2" t="s">
        <v>15</v>
      </c>
      <c r="K91" s="2" t="s">
        <v>15</v>
      </c>
      <c r="L91" s="2" t="s">
        <v>15</v>
      </c>
      <c r="M91" s="2" t="s">
        <v>15</v>
      </c>
      <c r="N91" s="2" t="s">
        <v>292</v>
      </c>
    </row>
    <row r="92" spans="1:14" x14ac:dyDescent="0.25">
      <c r="A92" s="1" t="s">
        <v>407</v>
      </c>
      <c r="B92" s="38" t="str">
        <f t="shared" si="2"/>
        <v>CAP,,,,,</v>
      </c>
      <c r="C92" s="2" t="s">
        <v>15</v>
      </c>
      <c r="D92" s="2" t="s">
        <v>15</v>
      </c>
      <c r="E92" s="2" t="s">
        <v>15</v>
      </c>
      <c r="F92" s="2" t="s">
        <v>15</v>
      </c>
      <c r="G92" s="2" t="s">
        <v>15</v>
      </c>
      <c r="H92" s="2" t="s">
        <v>293</v>
      </c>
      <c r="I92" s="2" t="s">
        <v>15</v>
      </c>
      <c r="J92" s="2" t="s">
        <v>15</v>
      </c>
      <c r="K92" s="2" t="s">
        <v>15</v>
      </c>
      <c r="L92" s="2" t="s">
        <v>15</v>
      </c>
      <c r="M92" s="2" t="s">
        <v>15</v>
      </c>
      <c r="N92" s="2" t="s">
        <v>294</v>
      </c>
    </row>
    <row r="93" spans="1:14" x14ac:dyDescent="0.25">
      <c r="A93" s="1" t="s">
        <v>408</v>
      </c>
      <c r="B93" s="38" t="str">
        <f t="shared" si="2"/>
        <v>CAP,AE,220uF,63V,AE,</v>
      </c>
      <c r="C93" s="2" t="s">
        <v>15</v>
      </c>
      <c r="D93" s="2" t="s">
        <v>15</v>
      </c>
      <c r="E93" s="2" t="s">
        <v>15</v>
      </c>
      <c r="F93" s="2" t="s">
        <v>15</v>
      </c>
      <c r="G93" s="2" t="s">
        <v>201</v>
      </c>
      <c r="H93" s="2" t="s">
        <v>295</v>
      </c>
      <c r="I93" s="2" t="s">
        <v>15</v>
      </c>
      <c r="J93" s="2" t="s">
        <v>296</v>
      </c>
      <c r="K93" s="39" t="s">
        <v>170</v>
      </c>
      <c r="L93" s="2" t="s">
        <v>191</v>
      </c>
      <c r="M93" s="2" t="s">
        <v>170</v>
      </c>
      <c r="N93" s="2" t="s">
        <v>297</v>
      </c>
    </row>
    <row r="94" spans="1:14" x14ac:dyDescent="0.25">
      <c r="A94" s="1" t="s">
        <v>409</v>
      </c>
      <c r="B94" s="38" t="str">
        <f t="shared" si="2"/>
        <v>CAP,FILM,100nF,250V,,2420</v>
      </c>
      <c r="C94" s="2" t="s">
        <v>15</v>
      </c>
      <c r="D94" s="2" t="s">
        <v>15</v>
      </c>
      <c r="E94" s="2" t="s">
        <v>15</v>
      </c>
      <c r="F94" s="2" t="s">
        <v>15</v>
      </c>
      <c r="G94" s="2" t="s">
        <v>22</v>
      </c>
      <c r="H94" s="2" t="s">
        <v>298</v>
      </c>
      <c r="I94" s="2" t="s">
        <v>299</v>
      </c>
      <c r="J94" s="2" t="s">
        <v>80</v>
      </c>
      <c r="K94" s="2" t="s">
        <v>15</v>
      </c>
      <c r="L94" s="2" t="s">
        <v>218</v>
      </c>
      <c r="M94" s="2" t="s">
        <v>60</v>
      </c>
      <c r="N94" s="2" t="s">
        <v>300</v>
      </c>
    </row>
    <row r="95" spans="1:14" x14ac:dyDescent="0.25">
      <c r="A95" s="1" t="s">
        <v>410</v>
      </c>
      <c r="B95" s="38" t="str">
        <f t="shared" si="2"/>
        <v>CAP,AE,2200uF,25V,AE,</v>
      </c>
      <c r="C95" s="2" t="s">
        <v>15</v>
      </c>
      <c r="D95" s="2" t="s">
        <v>15</v>
      </c>
      <c r="E95" s="2" t="s">
        <v>15</v>
      </c>
      <c r="F95" s="2" t="s">
        <v>15</v>
      </c>
      <c r="G95" s="2" t="s">
        <v>22</v>
      </c>
      <c r="H95" s="2" t="s">
        <v>301</v>
      </c>
      <c r="I95" s="2" t="s">
        <v>15</v>
      </c>
      <c r="J95" s="2" t="s">
        <v>169</v>
      </c>
      <c r="K95" s="39" t="s">
        <v>170</v>
      </c>
      <c r="L95" s="2" t="s">
        <v>81</v>
      </c>
      <c r="M95" s="2" t="s">
        <v>170</v>
      </c>
      <c r="N95" s="2" t="s">
        <v>302</v>
      </c>
    </row>
    <row r="96" spans="1:14" x14ac:dyDescent="0.25">
      <c r="A96" s="1" t="s">
        <v>411</v>
      </c>
      <c r="B96" s="38" t="str">
        <f t="shared" si="2"/>
        <v>CAP,FILM,27nF,630V,,</v>
      </c>
      <c r="C96" s="2" t="s">
        <v>15</v>
      </c>
      <c r="D96" s="2" t="s">
        <v>15</v>
      </c>
      <c r="E96" s="2" t="s">
        <v>15</v>
      </c>
      <c r="F96" s="2" t="s">
        <v>15</v>
      </c>
      <c r="G96" s="2" t="s">
        <v>22</v>
      </c>
      <c r="H96" s="2" t="s">
        <v>15</v>
      </c>
      <c r="I96" s="2" t="s">
        <v>15</v>
      </c>
      <c r="J96" s="2" t="s">
        <v>303</v>
      </c>
      <c r="K96" s="2" t="s">
        <v>15</v>
      </c>
      <c r="L96" s="2" t="s">
        <v>304</v>
      </c>
      <c r="M96" s="2" t="s">
        <v>60</v>
      </c>
      <c r="N96" s="2" t="s">
        <v>305</v>
      </c>
    </row>
    <row r="97" spans="1:16" x14ac:dyDescent="0.25">
      <c r="A97" s="1" t="s">
        <v>412</v>
      </c>
      <c r="B97" s="38" t="str">
        <f t="shared" si="2"/>
        <v>CAP,FILM,150nF,63V,,</v>
      </c>
      <c r="C97" s="2" t="s">
        <v>15</v>
      </c>
      <c r="D97" s="2" t="s">
        <v>15</v>
      </c>
      <c r="E97" s="2" t="s">
        <v>15</v>
      </c>
      <c r="F97" s="2" t="s">
        <v>15</v>
      </c>
      <c r="G97" s="2" t="s">
        <v>22</v>
      </c>
      <c r="H97" s="2" t="s">
        <v>306</v>
      </c>
      <c r="I97" s="2" t="s">
        <v>15</v>
      </c>
      <c r="J97" s="2" t="s">
        <v>174</v>
      </c>
      <c r="K97" s="2" t="s">
        <v>15</v>
      </c>
      <c r="L97" s="2" t="s">
        <v>191</v>
      </c>
      <c r="M97" s="2" t="s">
        <v>60</v>
      </c>
      <c r="N97" s="2" t="s">
        <v>308</v>
      </c>
      <c r="P97" s="2" t="s">
        <v>307</v>
      </c>
    </row>
    <row r="98" spans="1:16" x14ac:dyDescent="0.25">
      <c r="A98" s="1" t="s">
        <v>413</v>
      </c>
      <c r="B98" s="38" t="str">
        <f t="shared" si="2"/>
        <v>CAP,AE,220uF,63V,AE,</v>
      </c>
      <c r="C98" s="2" t="s">
        <v>15</v>
      </c>
      <c r="D98" s="2" t="s">
        <v>15</v>
      </c>
      <c r="E98" s="2" t="s">
        <v>15</v>
      </c>
      <c r="F98" s="2" t="s">
        <v>15</v>
      </c>
      <c r="G98" s="2" t="s">
        <v>201</v>
      </c>
      <c r="H98" s="2" t="s">
        <v>309</v>
      </c>
      <c r="I98" s="2" t="s">
        <v>15</v>
      </c>
      <c r="J98" s="2" t="s">
        <v>296</v>
      </c>
      <c r="K98" s="39" t="s">
        <v>170</v>
      </c>
      <c r="L98" s="2" t="s">
        <v>191</v>
      </c>
      <c r="M98" s="2" t="s">
        <v>170</v>
      </c>
      <c r="N98" s="2" t="s">
        <v>310</v>
      </c>
    </row>
    <row r="99" spans="1:16" x14ac:dyDescent="0.25">
      <c r="A99" s="1" t="s">
        <v>414</v>
      </c>
      <c r="B99" s="38" t="str">
        <f t="shared" si="2"/>
        <v>CAP,FILM,4N7,63V,,</v>
      </c>
      <c r="C99" s="2" t="s">
        <v>15</v>
      </c>
      <c r="D99" s="2" t="s">
        <v>15</v>
      </c>
      <c r="E99" s="2" t="s">
        <v>15</v>
      </c>
      <c r="F99" s="2" t="s">
        <v>15</v>
      </c>
      <c r="G99" s="2" t="s">
        <v>311</v>
      </c>
      <c r="H99" s="2" t="s">
        <v>312</v>
      </c>
      <c r="I99" s="2" t="s">
        <v>15</v>
      </c>
      <c r="J99" s="2" t="s">
        <v>128</v>
      </c>
      <c r="K99" s="2" t="s">
        <v>15</v>
      </c>
      <c r="L99" s="2" t="s">
        <v>191</v>
      </c>
      <c r="M99" s="2" t="s">
        <v>60</v>
      </c>
      <c r="N99" s="2" t="s">
        <v>313</v>
      </c>
    </row>
    <row r="100" spans="1:16" x14ac:dyDescent="0.25">
      <c r="A100" s="1" t="s">
        <v>415</v>
      </c>
      <c r="B100" s="38" t="str">
        <f t="shared" si="2"/>
        <v>CAP,FILM AXIAL,1uF,250V,,</v>
      </c>
      <c r="C100" s="2" t="s">
        <v>15</v>
      </c>
      <c r="D100" s="2" t="s">
        <v>15</v>
      </c>
      <c r="E100" s="2" t="s">
        <v>15</v>
      </c>
      <c r="F100" s="2" t="s">
        <v>15</v>
      </c>
      <c r="G100" s="2" t="s">
        <v>314</v>
      </c>
      <c r="H100" s="2" t="s">
        <v>15</v>
      </c>
      <c r="I100" s="2" t="s">
        <v>15</v>
      </c>
      <c r="J100" s="2" t="s">
        <v>48</v>
      </c>
      <c r="K100" s="2" t="s">
        <v>15</v>
      </c>
      <c r="L100" s="2" t="s">
        <v>218</v>
      </c>
      <c r="M100" s="2" t="s">
        <v>315</v>
      </c>
      <c r="N100" s="2" t="s">
        <v>316</v>
      </c>
    </row>
  </sheetData>
  <phoneticPr fontId="3" type="noConversion"/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85AA-EF7F-4B6A-BAE8-04EBC6F4DED8}">
  <dimension ref="A1:Q85"/>
  <sheetViews>
    <sheetView workbookViewId="0">
      <selection activeCell="H30" sqref="H30"/>
    </sheetView>
  </sheetViews>
  <sheetFormatPr defaultColWidth="111.42578125" defaultRowHeight="15" x14ac:dyDescent="0.25"/>
  <cols>
    <col min="1" max="1" width="10.7109375" style="3" bestFit="1" customWidth="1"/>
    <col min="2" max="2" width="85.28515625" bestFit="1" customWidth="1"/>
    <col min="3" max="3" width="15.7109375" style="3" bestFit="1" customWidth="1"/>
    <col min="4" max="4" width="37.140625" style="3" bestFit="1" customWidth="1"/>
    <col min="5" max="5" width="12.140625" style="3" bestFit="1" customWidth="1"/>
    <col min="6" max="6" width="13.5703125" style="3" bestFit="1" customWidth="1"/>
    <col min="7" max="7" width="46.5703125" style="3" bestFit="1" customWidth="1"/>
    <col min="8" max="8" width="14.28515625" style="3" bestFit="1" customWidth="1"/>
    <col min="9" max="9" width="33.85546875" style="3" bestFit="1" customWidth="1"/>
    <col min="10" max="10" width="23.85546875" style="3" bestFit="1" customWidth="1"/>
    <col min="11" max="11" width="11" style="3" bestFit="1" customWidth="1"/>
    <col min="12" max="12" width="7" style="3" bestFit="1" customWidth="1"/>
    <col min="13" max="13" width="25.7109375" style="3" bestFit="1" customWidth="1"/>
    <col min="14" max="14" width="8" style="3" bestFit="1" customWidth="1"/>
    <col min="15" max="15" width="15.28515625" style="3" bestFit="1" customWidth="1"/>
    <col min="16" max="16" width="8.42578125" style="3" bestFit="1" customWidth="1"/>
    <col min="17" max="17" width="8.140625" style="3" bestFit="1" customWidth="1"/>
    <col min="18" max="16384" width="111.42578125" style="3"/>
  </cols>
  <sheetData>
    <row r="1" spans="1:17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4014</v>
      </c>
      <c r="H1" s="28" t="s">
        <v>6</v>
      </c>
      <c r="I1" s="28" t="s">
        <v>7</v>
      </c>
      <c r="J1" s="28" t="s">
        <v>8</v>
      </c>
      <c r="K1" s="28" t="s">
        <v>4156</v>
      </c>
      <c r="L1" s="28" t="s">
        <v>418</v>
      </c>
      <c r="M1" s="28" t="s">
        <v>14</v>
      </c>
      <c r="N1" s="27" t="s">
        <v>61</v>
      </c>
      <c r="O1" s="27" t="s">
        <v>1971</v>
      </c>
      <c r="P1" s="27" t="s">
        <v>1120</v>
      </c>
      <c r="Q1" s="27" t="s">
        <v>521</v>
      </c>
    </row>
    <row r="2" spans="1:17" x14ac:dyDescent="0.25">
      <c r="A2" s="40" t="s">
        <v>621</v>
      </c>
      <c r="B2" s="42" t="str">
        <f>_xlfn.CONCAT("CONNECTOR,",G2,",",H2,",",I2)</f>
        <v>CONNECTOR,IC SOCKET,8-PIN,ADAM TECH,ICS-308-T</v>
      </c>
      <c r="C2" s="41" t="s">
        <v>419</v>
      </c>
      <c r="D2" s="41" t="s">
        <v>420</v>
      </c>
      <c r="E2" s="41" t="s">
        <v>15</v>
      </c>
      <c r="F2" s="41" t="s">
        <v>15</v>
      </c>
      <c r="G2" s="41" t="s">
        <v>4157</v>
      </c>
      <c r="H2" s="41" t="s">
        <v>421</v>
      </c>
      <c r="I2" s="41" t="s">
        <v>422</v>
      </c>
      <c r="J2" s="41" t="s">
        <v>423</v>
      </c>
      <c r="K2" s="41" t="s">
        <v>424</v>
      </c>
      <c r="L2" s="41" t="s">
        <v>425</v>
      </c>
      <c r="M2" s="41" t="s">
        <v>426</v>
      </c>
    </row>
    <row r="3" spans="1:17" x14ac:dyDescent="0.25">
      <c r="A3" s="40" t="s">
        <v>4073</v>
      </c>
      <c r="B3" s="42" t="str">
        <f t="shared" ref="B3:B66" si="0">_xlfn.CONCAT("CONNECTOR,",G3,",",H3,",",I3)</f>
        <v>CONNECTOR,IC SOCKET,14-PIN,ADAM TECH,ICS-314-T</v>
      </c>
      <c r="C3" s="41" t="s">
        <v>419</v>
      </c>
      <c r="D3" s="41" t="s">
        <v>420</v>
      </c>
      <c r="E3" s="41" t="s">
        <v>15</v>
      </c>
      <c r="F3" s="41" t="s">
        <v>15</v>
      </c>
      <c r="G3" s="41" t="s">
        <v>4158</v>
      </c>
      <c r="H3" s="41" t="s">
        <v>421</v>
      </c>
      <c r="I3" s="41" t="s">
        <v>427</v>
      </c>
      <c r="J3" s="41" t="s">
        <v>428</v>
      </c>
      <c r="K3" s="41" t="s">
        <v>424</v>
      </c>
      <c r="L3" s="41" t="s">
        <v>429</v>
      </c>
      <c r="M3" s="41" t="s">
        <v>430</v>
      </c>
    </row>
    <row r="4" spans="1:17" x14ac:dyDescent="0.25">
      <c r="A4" s="40" t="s">
        <v>4074</v>
      </c>
      <c r="B4" s="42" t="str">
        <f t="shared" si="0"/>
        <v>CONNECTOR,IC SOCKET,16-PIN,ADAM TECH,ICS-316-T</v>
      </c>
      <c r="C4" s="41" t="s">
        <v>419</v>
      </c>
      <c r="D4" s="41" t="s">
        <v>420</v>
      </c>
      <c r="E4" s="41" t="s">
        <v>15</v>
      </c>
      <c r="F4" s="41" t="s">
        <v>15</v>
      </c>
      <c r="G4" s="41" t="s">
        <v>4172</v>
      </c>
      <c r="H4" s="41" t="s">
        <v>421</v>
      </c>
      <c r="I4" s="41" t="s">
        <v>431</v>
      </c>
      <c r="J4" s="41" t="s">
        <v>432</v>
      </c>
      <c r="K4" s="41" t="s">
        <v>424</v>
      </c>
      <c r="L4" s="41" t="s">
        <v>433</v>
      </c>
      <c r="M4" s="41" t="s">
        <v>434</v>
      </c>
    </row>
    <row r="5" spans="1:17" x14ac:dyDescent="0.25">
      <c r="A5" s="40" t="s">
        <v>4075</v>
      </c>
      <c r="B5" s="42" t="str">
        <f t="shared" si="0"/>
        <v>CONNECTOR,IC SOCKET,18-PIN,ADAM TECH,ICS-318-T</v>
      </c>
      <c r="C5" s="41" t="s">
        <v>419</v>
      </c>
      <c r="D5" s="41" t="s">
        <v>420</v>
      </c>
      <c r="E5" s="41" t="s">
        <v>15</v>
      </c>
      <c r="F5" s="41" t="s">
        <v>15</v>
      </c>
      <c r="G5" s="41" t="s">
        <v>4173</v>
      </c>
      <c r="H5" s="41" t="s">
        <v>421</v>
      </c>
      <c r="I5" s="41" t="s">
        <v>435</v>
      </c>
      <c r="J5" s="41" t="s">
        <v>436</v>
      </c>
      <c r="K5" s="41" t="s">
        <v>424</v>
      </c>
      <c r="L5" s="41" t="s">
        <v>437</v>
      </c>
      <c r="M5" s="41" t="s">
        <v>438</v>
      </c>
    </row>
    <row r="6" spans="1:17" x14ac:dyDescent="0.25">
      <c r="A6" s="40" t="s">
        <v>4076</v>
      </c>
      <c r="B6" s="42" t="str">
        <f t="shared" si="0"/>
        <v>CONNECTOR,IC SOCKET,20-PIN,ADAM TECH,ICS-320-T</v>
      </c>
      <c r="C6" s="41" t="s">
        <v>419</v>
      </c>
      <c r="D6" s="41" t="s">
        <v>420</v>
      </c>
      <c r="E6" s="41" t="s">
        <v>15</v>
      </c>
      <c r="F6" s="41" t="s">
        <v>15</v>
      </c>
      <c r="G6" s="41" t="s">
        <v>4174</v>
      </c>
      <c r="H6" s="41" t="s">
        <v>421</v>
      </c>
      <c r="I6" s="41" t="s">
        <v>439</v>
      </c>
      <c r="J6" s="41" t="s">
        <v>440</v>
      </c>
      <c r="K6" s="41" t="s">
        <v>424</v>
      </c>
      <c r="L6" s="41" t="s">
        <v>441</v>
      </c>
      <c r="M6" s="41" t="s">
        <v>442</v>
      </c>
    </row>
    <row r="7" spans="1:17" x14ac:dyDescent="0.25">
      <c r="A7" s="40" t="s">
        <v>4077</v>
      </c>
      <c r="B7" s="42" t="str">
        <f t="shared" si="0"/>
        <v>CONNECTOR,IC SOCKET,24-PIN,NARROW,ADAM TECH,ICS-324-T</v>
      </c>
      <c r="C7" s="41" t="s">
        <v>419</v>
      </c>
      <c r="D7" s="41" t="s">
        <v>420</v>
      </c>
      <c r="E7" s="41" t="s">
        <v>15</v>
      </c>
      <c r="F7" s="41" t="s">
        <v>15</v>
      </c>
      <c r="G7" s="41" t="s">
        <v>4175</v>
      </c>
      <c r="H7" s="41" t="s">
        <v>421</v>
      </c>
      <c r="I7" s="41" t="s">
        <v>443</v>
      </c>
      <c r="J7" s="41" t="s">
        <v>444</v>
      </c>
      <c r="K7" s="41" t="s">
        <v>424</v>
      </c>
      <c r="L7" s="41" t="s">
        <v>445</v>
      </c>
      <c r="M7" s="41" t="s">
        <v>446</v>
      </c>
    </row>
    <row r="8" spans="1:17" x14ac:dyDescent="0.25">
      <c r="A8" s="40" t="s">
        <v>4078</v>
      </c>
      <c r="B8" s="42" t="str">
        <f t="shared" si="0"/>
        <v>CONNECTOR,IC SOCKET,24-PIN,WIDE,ADAM TECH,ICS-624-T</v>
      </c>
      <c r="C8" s="41" t="s">
        <v>419</v>
      </c>
      <c r="D8" s="41" t="s">
        <v>420</v>
      </c>
      <c r="E8" s="41" t="s">
        <v>15</v>
      </c>
      <c r="F8" s="41" t="s">
        <v>15</v>
      </c>
      <c r="G8" s="41" t="s">
        <v>4176</v>
      </c>
      <c r="H8" s="41" t="s">
        <v>421</v>
      </c>
      <c r="I8" s="41" t="s">
        <v>447</v>
      </c>
      <c r="J8" s="41" t="s">
        <v>448</v>
      </c>
      <c r="K8" s="41" t="s">
        <v>424</v>
      </c>
      <c r="L8" s="41" t="s">
        <v>449</v>
      </c>
      <c r="M8" s="41" t="s">
        <v>450</v>
      </c>
    </row>
    <row r="9" spans="1:17" x14ac:dyDescent="0.25">
      <c r="A9" s="40" t="s">
        <v>4079</v>
      </c>
      <c r="B9" s="42" t="str">
        <f t="shared" si="0"/>
        <v>CONNECTOR,IC SOCKET,28-PIN,ADAM TECH,ICS-628-T</v>
      </c>
      <c r="C9" s="41" t="s">
        <v>419</v>
      </c>
      <c r="D9" s="41" t="s">
        <v>420</v>
      </c>
      <c r="E9" s="41" t="s">
        <v>15</v>
      </c>
      <c r="F9" s="41" t="s">
        <v>15</v>
      </c>
      <c r="G9" s="41" t="s">
        <v>4177</v>
      </c>
      <c r="H9" s="41" t="s">
        <v>421</v>
      </c>
      <c r="I9" s="41" t="s">
        <v>451</v>
      </c>
      <c r="J9" s="41" t="s">
        <v>452</v>
      </c>
      <c r="K9" s="41" t="s">
        <v>424</v>
      </c>
      <c r="L9" s="41" t="s">
        <v>453</v>
      </c>
      <c r="M9" s="41" t="s">
        <v>454</v>
      </c>
    </row>
    <row r="10" spans="1:17" x14ac:dyDescent="0.25">
      <c r="A10" s="40" t="s">
        <v>4080</v>
      </c>
      <c r="B10" s="42" t="str">
        <f t="shared" si="0"/>
        <v>CONNECTOR,IC SOCKET40-PIN,ADAM TECH,ICS-640-T</v>
      </c>
      <c r="C10" s="41" t="s">
        <v>419</v>
      </c>
      <c r="D10" s="41" t="s">
        <v>420</v>
      </c>
      <c r="E10" s="41" t="s">
        <v>15</v>
      </c>
      <c r="F10" s="41" t="s">
        <v>15</v>
      </c>
      <c r="G10" s="41" t="s">
        <v>4178</v>
      </c>
      <c r="H10" s="41" t="s">
        <v>421</v>
      </c>
      <c r="I10" s="41" t="s">
        <v>455</v>
      </c>
      <c r="J10" s="41" t="s">
        <v>456</v>
      </c>
      <c r="K10" s="41" t="s">
        <v>424</v>
      </c>
      <c r="L10" s="41" t="s">
        <v>457</v>
      </c>
      <c r="M10" s="41" t="s">
        <v>458</v>
      </c>
    </row>
    <row r="11" spans="1:17" x14ac:dyDescent="0.25">
      <c r="A11" s="40" t="s">
        <v>4081</v>
      </c>
      <c r="B11" s="42" t="str">
        <f t="shared" si="0"/>
        <v>CONNECTOR,USB2,MINI B,SMD, RIGHT ANGLE,MOLEX,0513870578</v>
      </c>
      <c r="C11" s="41" t="s">
        <v>15</v>
      </c>
      <c r="D11" s="41" t="s">
        <v>15</v>
      </c>
      <c r="E11" s="41" t="s">
        <v>15</v>
      </c>
      <c r="F11" s="41" t="s">
        <v>15</v>
      </c>
      <c r="G11" s="42" t="s">
        <v>4169</v>
      </c>
      <c r="H11" s="41" t="s">
        <v>459</v>
      </c>
      <c r="I11" s="41" t="s">
        <v>460</v>
      </c>
      <c r="J11" s="41" t="s">
        <v>15</v>
      </c>
      <c r="K11" s="41" t="s">
        <v>15</v>
      </c>
      <c r="L11" s="41" t="s">
        <v>15</v>
      </c>
      <c r="M11" s="41" t="s">
        <v>462</v>
      </c>
      <c r="O11" s="41" t="s">
        <v>461</v>
      </c>
    </row>
    <row r="12" spans="1:17" x14ac:dyDescent="0.25">
      <c r="A12" s="40" t="s">
        <v>4082</v>
      </c>
      <c r="B12" s="42" t="str">
        <f t="shared" si="0"/>
        <v>CONNECTOR,,MOLEX,0548190572</v>
      </c>
      <c r="C12" s="41" t="s">
        <v>15</v>
      </c>
      <c r="D12" s="41" t="s">
        <v>15</v>
      </c>
      <c r="E12" s="41" t="s">
        <v>15</v>
      </c>
      <c r="F12" s="41" t="s">
        <v>15</v>
      </c>
      <c r="G12" s="41"/>
      <c r="H12" s="41" t="s">
        <v>459</v>
      </c>
      <c r="I12" s="41" t="s">
        <v>463</v>
      </c>
      <c r="J12" s="41" t="s">
        <v>15</v>
      </c>
      <c r="K12" s="41" t="s">
        <v>15</v>
      </c>
      <c r="L12" s="41" t="s">
        <v>15</v>
      </c>
      <c r="M12" s="41" t="s">
        <v>465</v>
      </c>
      <c r="O12" s="41" t="s">
        <v>464</v>
      </c>
    </row>
    <row r="13" spans="1:17" x14ac:dyDescent="0.25">
      <c r="A13" s="40" t="s">
        <v>4083</v>
      </c>
      <c r="B13" s="42" t="str">
        <f t="shared" si="0"/>
        <v>CONNECTOR,PINHEADER,2.54mm,SOCKET,6X1,GREEN,ARDUINO,</v>
      </c>
      <c r="C13" s="41" t="s">
        <v>15</v>
      </c>
      <c r="D13" s="41" t="s">
        <v>15</v>
      </c>
      <c r="E13" s="41" t="s">
        <v>15</v>
      </c>
      <c r="F13" s="41" t="s">
        <v>15</v>
      </c>
      <c r="G13" s="41" t="s">
        <v>4203</v>
      </c>
      <c r="H13" s="41" t="s">
        <v>4223</v>
      </c>
      <c r="I13" s="41" t="s">
        <v>15</v>
      </c>
      <c r="J13" s="41" t="s">
        <v>467</v>
      </c>
      <c r="K13" s="41" t="s">
        <v>15</v>
      </c>
      <c r="L13" s="41" t="s">
        <v>15</v>
      </c>
      <c r="M13" s="41" t="s">
        <v>468</v>
      </c>
    </row>
    <row r="14" spans="1:17" x14ac:dyDescent="0.25">
      <c r="A14" s="40" t="s">
        <v>4084</v>
      </c>
      <c r="B14" s="42" t="str">
        <f t="shared" si="0"/>
        <v>CONNECTOR,PINHEADER,2.54mm,SOCKET,6X1,RED,ARDUINO,</v>
      </c>
      <c r="C14" s="41" t="s">
        <v>15</v>
      </c>
      <c r="D14" s="41" t="s">
        <v>15</v>
      </c>
      <c r="E14" s="41" t="s">
        <v>15</v>
      </c>
      <c r="F14" s="41" t="s">
        <v>15</v>
      </c>
      <c r="G14" s="41" t="s">
        <v>4204</v>
      </c>
      <c r="H14" s="41" t="s">
        <v>4223</v>
      </c>
      <c r="I14" s="41" t="s">
        <v>15</v>
      </c>
      <c r="J14" s="41" t="s">
        <v>469</v>
      </c>
      <c r="K14" s="41" t="s">
        <v>15</v>
      </c>
      <c r="L14" s="41" t="s">
        <v>15</v>
      </c>
      <c r="M14" s="41" t="s">
        <v>470</v>
      </c>
    </row>
    <row r="15" spans="1:17" x14ac:dyDescent="0.25">
      <c r="A15" s="40" t="s">
        <v>4085</v>
      </c>
      <c r="B15" s="42" t="str">
        <f t="shared" si="0"/>
        <v>CONNECTOR,PINHEADER,2.54mm,SOCKET,6X1,BLUE,ARDUINO,</v>
      </c>
      <c r="C15" s="41" t="s">
        <v>15</v>
      </c>
      <c r="D15" s="41" t="s">
        <v>15</v>
      </c>
      <c r="E15" s="41" t="s">
        <v>15</v>
      </c>
      <c r="F15" s="41" t="s">
        <v>15</v>
      </c>
      <c r="G15" s="41" t="s">
        <v>4205</v>
      </c>
      <c r="H15" s="41" t="s">
        <v>4223</v>
      </c>
      <c r="I15" s="41" t="s">
        <v>15</v>
      </c>
      <c r="J15" s="41" t="s">
        <v>471</v>
      </c>
      <c r="K15" s="41" t="s">
        <v>15</v>
      </c>
      <c r="L15" s="41" t="s">
        <v>15</v>
      </c>
      <c r="M15" s="41" t="s">
        <v>472</v>
      </c>
    </row>
    <row r="16" spans="1:17" x14ac:dyDescent="0.25">
      <c r="A16" s="40" t="s">
        <v>4086</v>
      </c>
      <c r="B16" s="42" t="str">
        <f t="shared" si="0"/>
        <v>CONNECTOR,PINHEADER,2.54mm,SOCKET,6X1,YELLOW,ARDUINO,</v>
      </c>
      <c r="C16" s="41" t="s">
        <v>15</v>
      </c>
      <c r="D16" s="41" t="s">
        <v>15</v>
      </c>
      <c r="E16" s="41" t="s">
        <v>15</v>
      </c>
      <c r="F16" s="41" t="s">
        <v>15</v>
      </c>
      <c r="G16" s="41" t="s">
        <v>4206</v>
      </c>
      <c r="H16" s="41" t="s">
        <v>4223</v>
      </c>
      <c r="I16" s="41" t="s">
        <v>15</v>
      </c>
      <c r="J16" s="41" t="s">
        <v>473</v>
      </c>
      <c r="K16" s="41" t="s">
        <v>15</v>
      </c>
      <c r="L16" s="41" t="s">
        <v>15</v>
      </c>
      <c r="M16" s="41" t="s">
        <v>474</v>
      </c>
    </row>
    <row r="17" spans="1:13" x14ac:dyDescent="0.25">
      <c r="A17" s="40" t="s">
        <v>4087</v>
      </c>
      <c r="B17" s="42" t="str">
        <f t="shared" si="0"/>
        <v>CONNECTOR,USB2,MINI B,SMD,,</v>
      </c>
      <c r="C17" s="41" t="s">
        <v>15</v>
      </c>
      <c r="D17" s="41" t="s">
        <v>15</v>
      </c>
      <c r="E17" s="41" t="s">
        <v>15</v>
      </c>
      <c r="F17" s="41" t="s">
        <v>15</v>
      </c>
      <c r="G17" s="41" t="s">
        <v>4171</v>
      </c>
      <c r="H17" s="41" t="s">
        <v>15</v>
      </c>
      <c r="I17" s="41" t="s">
        <v>15</v>
      </c>
      <c r="J17" s="41" t="s">
        <v>475</v>
      </c>
      <c r="K17" s="41" t="s">
        <v>15</v>
      </c>
      <c r="L17" s="41" t="s">
        <v>15</v>
      </c>
      <c r="M17" s="41" t="s">
        <v>476</v>
      </c>
    </row>
    <row r="18" spans="1:13" x14ac:dyDescent="0.25">
      <c r="A18" s="40" t="s">
        <v>4088</v>
      </c>
      <c r="B18" s="42" t="str">
        <f t="shared" si="0"/>
        <v>CONNECTOR,BINDING POST,HEAVY,GREY,MULTICOLOR,,</v>
      </c>
      <c r="C18" s="41" t="s">
        <v>15</v>
      </c>
      <c r="D18" s="41" t="s">
        <v>15</v>
      </c>
      <c r="E18" s="41" t="s">
        <v>15</v>
      </c>
      <c r="F18" s="41" t="s">
        <v>15</v>
      </c>
      <c r="G18" s="41" t="s">
        <v>4167</v>
      </c>
      <c r="H18" s="41" t="s">
        <v>15</v>
      </c>
      <c r="I18" s="41" t="s">
        <v>15</v>
      </c>
      <c r="J18" s="41" t="s">
        <v>15</v>
      </c>
      <c r="K18" s="41" t="s">
        <v>15</v>
      </c>
      <c r="L18" s="41" t="s">
        <v>15</v>
      </c>
      <c r="M18" s="41" t="s">
        <v>477</v>
      </c>
    </row>
    <row r="19" spans="1:13" x14ac:dyDescent="0.25">
      <c r="A19" s="40" t="s">
        <v>4089</v>
      </c>
      <c r="B19" s="42" t="str">
        <f t="shared" si="0"/>
        <v>CONNECTOR,BANANA,NON STACKABLE MULTI COLOR,,</v>
      </c>
      <c r="C19" s="41" t="s">
        <v>15</v>
      </c>
      <c r="D19" s="41" t="s">
        <v>15</v>
      </c>
      <c r="E19" s="41" t="s">
        <v>15</v>
      </c>
      <c r="F19" s="41" t="s">
        <v>15</v>
      </c>
      <c r="G19" s="41" t="s">
        <v>4168</v>
      </c>
      <c r="H19" s="41" t="s">
        <v>15</v>
      </c>
      <c r="I19" s="41" t="s">
        <v>15</v>
      </c>
      <c r="J19" s="41" t="s">
        <v>15</v>
      </c>
      <c r="K19" s="41" t="s">
        <v>15</v>
      </c>
      <c r="L19" s="41" t="s">
        <v>15</v>
      </c>
      <c r="M19" s="41" t="s">
        <v>478</v>
      </c>
    </row>
    <row r="20" spans="1:13" x14ac:dyDescent="0.25">
      <c r="A20" s="40" t="s">
        <v>4090</v>
      </c>
      <c r="B20" s="42" t="str">
        <f t="shared" si="0"/>
        <v>CONNECTOR,USB3,RIGHT ANGLE,,</v>
      </c>
      <c r="C20" s="41" t="s">
        <v>15</v>
      </c>
      <c r="D20" s="41" t="s">
        <v>15</v>
      </c>
      <c r="E20" s="41" t="s">
        <v>15</v>
      </c>
      <c r="F20" s="41" t="s">
        <v>15</v>
      </c>
      <c r="G20" s="41" t="s">
        <v>4170</v>
      </c>
      <c r="H20" s="41" t="s">
        <v>15</v>
      </c>
      <c r="I20" s="41" t="s">
        <v>15</v>
      </c>
      <c r="J20" s="41" t="s">
        <v>479</v>
      </c>
      <c r="K20" s="41" t="s">
        <v>15</v>
      </c>
      <c r="L20" s="41" t="s">
        <v>15</v>
      </c>
      <c r="M20" s="41" t="s">
        <v>480</v>
      </c>
    </row>
    <row r="21" spans="1:13" x14ac:dyDescent="0.25">
      <c r="A21" s="40" t="s">
        <v>4091</v>
      </c>
      <c r="B21" s="42" t="str">
        <f t="shared" si="0"/>
        <v>CONNECTOR,BANANA JACK,SAFETY,PANEL MOUNT,PIN,BLACK,CALTEST,CT2904-0</v>
      </c>
      <c r="C21" s="41" t="s">
        <v>15</v>
      </c>
      <c r="D21" s="41" t="s">
        <v>15</v>
      </c>
      <c r="E21" s="41" t="s">
        <v>15</v>
      </c>
      <c r="F21" s="41" t="s">
        <v>15</v>
      </c>
      <c r="G21" s="41" t="s">
        <v>4159</v>
      </c>
      <c r="H21" s="41" t="s">
        <v>481</v>
      </c>
      <c r="I21" s="41" t="s">
        <v>482</v>
      </c>
      <c r="J21" s="41" t="s">
        <v>15</v>
      </c>
      <c r="K21" s="41" t="s">
        <v>15</v>
      </c>
      <c r="L21" s="41" t="s">
        <v>15</v>
      </c>
      <c r="M21" s="41" t="s">
        <v>483</v>
      </c>
    </row>
    <row r="22" spans="1:13" x14ac:dyDescent="0.25">
      <c r="A22" s="40" t="s">
        <v>4092</v>
      </c>
      <c r="B22" s="42" t="str">
        <f t="shared" si="0"/>
        <v>CONNECTOR,BANANA JACK,SAFETY,PANEL MOUNT,PIN,RED,CALTEST,CT2904-2</v>
      </c>
      <c r="C22" s="41" t="s">
        <v>15</v>
      </c>
      <c r="D22" s="41" t="s">
        <v>15</v>
      </c>
      <c r="E22" s="41" t="s">
        <v>15</v>
      </c>
      <c r="F22" s="41" t="s">
        <v>15</v>
      </c>
      <c r="G22" s="41" t="s">
        <v>4160</v>
      </c>
      <c r="H22" s="41" t="s">
        <v>481</v>
      </c>
      <c r="I22" s="41" t="s">
        <v>484</v>
      </c>
      <c r="J22" s="41" t="s">
        <v>15</v>
      </c>
      <c r="K22" s="41" t="s">
        <v>15</v>
      </c>
      <c r="L22" s="41" t="s">
        <v>15</v>
      </c>
      <c r="M22" s="41" t="s">
        <v>485</v>
      </c>
    </row>
    <row r="23" spans="1:13" x14ac:dyDescent="0.25">
      <c r="A23" s="40" t="s">
        <v>4093</v>
      </c>
      <c r="B23" s="42" t="str">
        <f t="shared" si="0"/>
        <v>CONNECTOR,BANANA JACK,SAFETY,PANEL MOUNT,PIN,YELLOW,CALTEST,CT2904-4</v>
      </c>
      <c r="C23" s="41" t="s">
        <v>15</v>
      </c>
      <c r="D23" s="41" t="s">
        <v>15</v>
      </c>
      <c r="E23" s="41" t="s">
        <v>15</v>
      </c>
      <c r="F23" s="41" t="s">
        <v>15</v>
      </c>
      <c r="G23" s="41" t="s">
        <v>4161</v>
      </c>
      <c r="H23" s="41" t="s">
        <v>481</v>
      </c>
      <c r="I23" s="41" t="s">
        <v>486</v>
      </c>
      <c r="J23" s="41" t="s">
        <v>15</v>
      </c>
      <c r="K23" s="41" t="s">
        <v>15</v>
      </c>
      <c r="L23" s="41" t="s">
        <v>15</v>
      </c>
      <c r="M23" s="41" t="s">
        <v>487</v>
      </c>
    </row>
    <row r="24" spans="1:13" x14ac:dyDescent="0.25">
      <c r="A24" s="40" t="s">
        <v>4094</v>
      </c>
      <c r="B24" s="42" t="str">
        <f t="shared" si="0"/>
        <v>CONNECTOR,BANANA JACK,SAFETY,PANEL MOUNT,PIN,BROWN,CALTEST,CT2904-1</v>
      </c>
      <c r="C24" s="41" t="s">
        <v>15</v>
      </c>
      <c r="D24" s="41" t="s">
        <v>15</v>
      </c>
      <c r="E24" s="41" t="s">
        <v>15</v>
      </c>
      <c r="F24" s="41" t="s">
        <v>15</v>
      </c>
      <c r="G24" s="41" t="s">
        <v>4162</v>
      </c>
      <c r="H24" s="41" t="s">
        <v>481</v>
      </c>
      <c r="I24" s="41" t="s">
        <v>488</v>
      </c>
      <c r="J24" s="41" t="s">
        <v>15</v>
      </c>
      <c r="K24" s="41" t="s">
        <v>15</v>
      </c>
      <c r="L24" s="41" t="s">
        <v>15</v>
      </c>
      <c r="M24" s="41" t="s">
        <v>489</v>
      </c>
    </row>
    <row r="25" spans="1:13" x14ac:dyDescent="0.25">
      <c r="A25" s="40" t="s">
        <v>4095</v>
      </c>
      <c r="B25" s="42" t="str">
        <f t="shared" si="0"/>
        <v>CONNECTOR,BANANA JACK,SAFETY,PANEL MOUNT,PIN,PURPLE,CALTEST,CT2904-7</v>
      </c>
      <c r="C25" s="41" t="s">
        <v>15</v>
      </c>
      <c r="D25" s="41" t="s">
        <v>15</v>
      </c>
      <c r="E25" s="41" t="s">
        <v>15</v>
      </c>
      <c r="F25" s="41" t="s">
        <v>15</v>
      </c>
      <c r="G25" s="41" t="s">
        <v>4163</v>
      </c>
      <c r="H25" s="41" t="s">
        <v>481</v>
      </c>
      <c r="I25" s="41" t="s">
        <v>490</v>
      </c>
      <c r="J25" s="41" t="s">
        <v>15</v>
      </c>
      <c r="K25" s="41" t="s">
        <v>15</v>
      </c>
      <c r="L25" s="41" t="s">
        <v>15</v>
      </c>
      <c r="M25" s="41" t="s">
        <v>489</v>
      </c>
    </row>
    <row r="26" spans="1:13" x14ac:dyDescent="0.25">
      <c r="A26" s="40" t="s">
        <v>4096</v>
      </c>
      <c r="B26" s="42" t="str">
        <f t="shared" si="0"/>
        <v>CONNECTOR,BANANA JACK,SAFETY,PANEL MOUNT,PIN,GREEN,CALTEST,CT2904-5</v>
      </c>
      <c r="C26" s="41" t="s">
        <v>15</v>
      </c>
      <c r="D26" s="41" t="s">
        <v>15</v>
      </c>
      <c r="E26" s="41" t="s">
        <v>15</v>
      </c>
      <c r="F26" s="41" t="s">
        <v>15</v>
      </c>
      <c r="G26" s="41" t="s">
        <v>4164</v>
      </c>
      <c r="H26" s="41" t="s">
        <v>481</v>
      </c>
      <c r="I26" s="41" t="s">
        <v>491</v>
      </c>
      <c r="J26" s="41" t="s">
        <v>15</v>
      </c>
      <c r="K26" s="41" t="s">
        <v>15</v>
      </c>
      <c r="L26" s="41" t="s">
        <v>15</v>
      </c>
      <c r="M26" s="41" t="s">
        <v>489</v>
      </c>
    </row>
    <row r="27" spans="1:13" x14ac:dyDescent="0.25">
      <c r="A27" s="40" t="s">
        <v>4097</v>
      </c>
      <c r="B27" s="42" t="str">
        <f t="shared" si="0"/>
        <v>CONNECTOR,BANANA JACK,SAFETY,PANEL MOUNT,PIN,BLUE,CALTEST,CT2904-6</v>
      </c>
      <c r="C27" s="41" t="s">
        <v>15</v>
      </c>
      <c r="D27" s="41" t="s">
        <v>15</v>
      </c>
      <c r="E27" s="41" t="s">
        <v>15</v>
      </c>
      <c r="F27" s="41" t="s">
        <v>15</v>
      </c>
      <c r="G27" s="41" t="s">
        <v>4165</v>
      </c>
      <c r="H27" s="41" t="s">
        <v>481</v>
      </c>
      <c r="I27" s="41" t="s">
        <v>492</v>
      </c>
      <c r="J27" s="41" t="s">
        <v>15</v>
      </c>
      <c r="K27" s="41" t="s">
        <v>15</v>
      </c>
      <c r="L27" s="41" t="s">
        <v>15</v>
      </c>
      <c r="M27" s="41" t="s">
        <v>489</v>
      </c>
    </row>
    <row r="28" spans="1:13" x14ac:dyDescent="0.25">
      <c r="A28" s="40" t="s">
        <v>4098</v>
      </c>
      <c r="B28" s="42" t="str">
        <f t="shared" si="0"/>
        <v>CONNECTOR,BANANA JACK,SAFETY,PANEL MOUNT,PIN,WHITE,CALTEST,CT2904-9</v>
      </c>
      <c r="C28" s="41" t="s">
        <v>15</v>
      </c>
      <c r="D28" s="41" t="s">
        <v>15</v>
      </c>
      <c r="E28" s="41" t="s">
        <v>15</v>
      </c>
      <c r="F28" s="41" t="s">
        <v>15</v>
      </c>
      <c r="G28" s="41" t="s">
        <v>4166</v>
      </c>
      <c r="H28" s="41" t="s">
        <v>481</v>
      </c>
      <c r="I28" s="41" t="s">
        <v>493</v>
      </c>
      <c r="J28" s="41" t="s">
        <v>15</v>
      </c>
      <c r="K28" s="41" t="s">
        <v>15</v>
      </c>
      <c r="L28" s="41" t="s">
        <v>15</v>
      </c>
      <c r="M28" s="41" t="s">
        <v>489</v>
      </c>
    </row>
    <row r="29" spans="1:13" x14ac:dyDescent="0.25">
      <c r="A29" s="40" t="s">
        <v>4099</v>
      </c>
      <c r="B29" s="42" t="str">
        <f t="shared" si="0"/>
        <v>CONNECTOR,IC SOCKET,PLCC28,SMD,3M,</v>
      </c>
      <c r="C29" s="41" t="s">
        <v>15</v>
      </c>
      <c r="D29" s="41" t="s">
        <v>15</v>
      </c>
      <c r="E29" s="41" t="s">
        <v>15</v>
      </c>
      <c r="F29" s="41" t="s">
        <v>15</v>
      </c>
      <c r="G29" s="41" t="s">
        <v>4183</v>
      </c>
      <c r="H29" s="41" t="s">
        <v>3150</v>
      </c>
      <c r="I29" s="41" t="s">
        <v>15</v>
      </c>
      <c r="J29" s="41" t="s">
        <v>494</v>
      </c>
      <c r="K29" s="41" t="s">
        <v>15</v>
      </c>
      <c r="L29" s="41" t="s">
        <v>15</v>
      </c>
      <c r="M29" s="41" t="s">
        <v>495</v>
      </c>
    </row>
    <row r="30" spans="1:13" x14ac:dyDescent="0.25">
      <c r="A30" s="40" t="s">
        <v>4100</v>
      </c>
      <c r="B30" s="42" t="str">
        <f t="shared" si="0"/>
        <v>CONNECTOR,,,SJ1-2503A</v>
      </c>
      <c r="C30" s="41" t="s">
        <v>15</v>
      </c>
      <c r="D30" s="41" t="s">
        <v>15</v>
      </c>
      <c r="E30" s="41" t="s">
        <v>15</v>
      </c>
      <c r="F30" s="41" t="s">
        <v>15</v>
      </c>
      <c r="G30" s="41"/>
      <c r="H30" s="41" t="s">
        <v>15</v>
      </c>
      <c r="I30" s="41" t="s">
        <v>496</v>
      </c>
      <c r="J30" s="41" t="s">
        <v>15</v>
      </c>
      <c r="K30" s="41" t="s">
        <v>15</v>
      </c>
      <c r="L30" s="41" t="s">
        <v>15</v>
      </c>
      <c r="M30" s="41" t="s">
        <v>497</v>
      </c>
    </row>
    <row r="31" spans="1:13" x14ac:dyDescent="0.25">
      <c r="A31" s="40" t="s">
        <v>4101</v>
      </c>
      <c r="B31" s="42" t="str">
        <f t="shared" si="0"/>
        <v>CONNECTOR,,,</v>
      </c>
      <c r="C31" s="41" t="s">
        <v>15</v>
      </c>
      <c r="D31" s="41" t="s">
        <v>15</v>
      </c>
      <c r="E31" s="41" t="s">
        <v>15</v>
      </c>
      <c r="F31" s="41" t="s">
        <v>15</v>
      </c>
      <c r="G31" s="41"/>
      <c r="H31" s="41" t="s">
        <v>15</v>
      </c>
      <c r="I31" s="41" t="s">
        <v>15</v>
      </c>
      <c r="J31" s="41" t="s">
        <v>498</v>
      </c>
      <c r="K31" s="41" t="s">
        <v>15</v>
      </c>
      <c r="L31" s="41" t="s">
        <v>15</v>
      </c>
      <c r="M31" s="41" t="s">
        <v>499</v>
      </c>
    </row>
    <row r="32" spans="1:13" x14ac:dyDescent="0.25">
      <c r="A32" s="40" t="s">
        <v>4102</v>
      </c>
      <c r="B32" s="42" t="str">
        <f t="shared" si="0"/>
        <v>CONNECTOR,,,</v>
      </c>
      <c r="C32" s="41" t="s">
        <v>15</v>
      </c>
      <c r="D32" s="41" t="s">
        <v>15</v>
      </c>
      <c r="E32" s="41" t="s">
        <v>15</v>
      </c>
      <c r="F32" s="41" t="s">
        <v>15</v>
      </c>
      <c r="G32" s="41"/>
      <c r="H32" s="41" t="s">
        <v>15</v>
      </c>
      <c r="I32" s="41" t="s">
        <v>15</v>
      </c>
      <c r="J32" s="41" t="s">
        <v>500</v>
      </c>
      <c r="K32" s="41" t="s">
        <v>15</v>
      </c>
      <c r="L32" s="41" t="s">
        <v>15</v>
      </c>
      <c r="M32" s="41" t="s">
        <v>501</v>
      </c>
    </row>
    <row r="33" spans="1:17" x14ac:dyDescent="0.25">
      <c r="A33" s="40" t="s">
        <v>4103</v>
      </c>
      <c r="B33" s="42" t="str">
        <f t="shared" si="0"/>
        <v>CONNECTOR,,,1-284392-0</v>
      </c>
      <c r="C33" s="41" t="s">
        <v>15</v>
      </c>
      <c r="D33" s="41" t="s">
        <v>15</v>
      </c>
      <c r="E33" s="41" t="s">
        <v>15</v>
      </c>
      <c r="F33" s="41" t="s">
        <v>15</v>
      </c>
      <c r="G33" s="41"/>
      <c r="H33" s="41" t="s">
        <v>15</v>
      </c>
      <c r="I33" s="41" t="s">
        <v>502</v>
      </c>
      <c r="J33" s="41" t="s">
        <v>15</v>
      </c>
      <c r="K33" s="41" t="s">
        <v>15</v>
      </c>
      <c r="L33" s="41" t="s">
        <v>15</v>
      </c>
      <c r="M33" s="41" t="s">
        <v>503</v>
      </c>
    </row>
    <row r="34" spans="1:17" x14ac:dyDescent="0.25">
      <c r="A34" s="40" t="s">
        <v>4104</v>
      </c>
      <c r="B34" s="42" t="str">
        <f t="shared" si="0"/>
        <v>CONNECTOR,,,87606-305LF</v>
      </c>
      <c r="C34" s="41" t="s">
        <v>15</v>
      </c>
      <c r="D34" s="41" t="s">
        <v>15</v>
      </c>
      <c r="E34" s="41" t="s">
        <v>15</v>
      </c>
      <c r="F34" s="41" t="s">
        <v>15</v>
      </c>
      <c r="G34" s="41"/>
      <c r="H34" s="41" t="s">
        <v>15</v>
      </c>
      <c r="I34" s="41" t="s">
        <v>504</v>
      </c>
      <c r="J34" s="41" t="s">
        <v>15</v>
      </c>
      <c r="K34" s="41" t="s">
        <v>15</v>
      </c>
      <c r="L34" s="41" t="s">
        <v>15</v>
      </c>
      <c r="M34" s="41" t="s">
        <v>505</v>
      </c>
    </row>
    <row r="35" spans="1:17" x14ac:dyDescent="0.25">
      <c r="A35" s="40" t="s">
        <v>4105</v>
      </c>
      <c r="B35" s="42" t="str">
        <f t="shared" si="0"/>
        <v>CONNECTOR,,,3220-10-0300-00</v>
      </c>
      <c r="C35" s="41" t="s">
        <v>15</v>
      </c>
      <c r="D35" s="41" t="s">
        <v>15</v>
      </c>
      <c r="E35" s="41" t="s">
        <v>15</v>
      </c>
      <c r="F35" s="41" t="s">
        <v>15</v>
      </c>
      <c r="G35" s="41"/>
      <c r="H35" s="41" t="s">
        <v>15</v>
      </c>
      <c r="I35" s="41" t="s">
        <v>506</v>
      </c>
      <c r="J35" s="41" t="s">
        <v>507</v>
      </c>
      <c r="K35" s="41" t="s">
        <v>15</v>
      </c>
      <c r="L35" s="41" t="s">
        <v>15</v>
      </c>
      <c r="M35" s="41" t="s">
        <v>508</v>
      </c>
    </row>
    <row r="36" spans="1:17" x14ac:dyDescent="0.25">
      <c r="A36" s="40" t="s">
        <v>4106</v>
      </c>
      <c r="B36" s="42" t="str">
        <f t="shared" si="0"/>
        <v>CONNECTOR,,MOLEX,56579-0576</v>
      </c>
      <c r="C36" s="41" t="s">
        <v>15</v>
      </c>
      <c r="D36" s="41" t="s">
        <v>15</v>
      </c>
      <c r="E36" s="41" t="s">
        <v>15</v>
      </c>
      <c r="F36" s="41" t="s">
        <v>15</v>
      </c>
      <c r="G36" s="41"/>
      <c r="H36" s="41" t="s">
        <v>459</v>
      </c>
      <c r="I36" s="41" t="s">
        <v>509</v>
      </c>
      <c r="J36" s="41" t="s">
        <v>15</v>
      </c>
      <c r="K36" s="41" t="s">
        <v>15</v>
      </c>
      <c r="L36" s="41" t="s">
        <v>15</v>
      </c>
      <c r="M36" s="41" t="s">
        <v>510</v>
      </c>
    </row>
    <row r="37" spans="1:17" x14ac:dyDescent="0.25">
      <c r="A37" s="40" t="s">
        <v>4107</v>
      </c>
      <c r="B37" s="42" t="str">
        <f t="shared" si="0"/>
        <v>CONNECTOR,,HP,N-TO-SMA</v>
      </c>
      <c r="C37" s="41" t="s">
        <v>15</v>
      </c>
      <c r="D37" s="41" t="s">
        <v>15</v>
      </c>
      <c r="E37" s="41" t="s">
        <v>15</v>
      </c>
      <c r="F37" s="41" t="s">
        <v>15</v>
      </c>
      <c r="G37" s="41"/>
      <c r="H37" s="41" t="s">
        <v>511</v>
      </c>
      <c r="I37" s="41" t="s">
        <v>512</v>
      </c>
      <c r="J37" s="41" t="s">
        <v>15</v>
      </c>
      <c r="K37" s="41" t="s">
        <v>15</v>
      </c>
      <c r="L37" s="41" t="s">
        <v>15</v>
      </c>
      <c r="M37" s="41" t="s">
        <v>513</v>
      </c>
    </row>
    <row r="38" spans="1:17" x14ac:dyDescent="0.25">
      <c r="A38" s="40" t="s">
        <v>4108</v>
      </c>
      <c r="B38" s="42" t="str">
        <f t="shared" si="0"/>
        <v>CONNECTOR,,,USB VERTICAL RA</v>
      </c>
      <c r="C38" s="41" t="s">
        <v>15</v>
      </c>
      <c r="D38" s="41" t="s">
        <v>15</v>
      </c>
      <c r="E38" s="41" t="s">
        <v>15</v>
      </c>
      <c r="F38" s="41" t="s">
        <v>15</v>
      </c>
      <c r="G38" s="41"/>
      <c r="H38" s="41" t="s">
        <v>15</v>
      </c>
      <c r="I38" s="41" t="s">
        <v>514</v>
      </c>
      <c r="J38" s="41" t="s">
        <v>15</v>
      </c>
      <c r="K38" s="41" t="s">
        <v>15</v>
      </c>
      <c r="L38" s="41" t="s">
        <v>15</v>
      </c>
      <c r="M38" s="41" t="s">
        <v>515</v>
      </c>
    </row>
    <row r="39" spans="1:17" x14ac:dyDescent="0.25">
      <c r="A39" s="40" t="s">
        <v>4109</v>
      </c>
      <c r="B39" s="42" t="str">
        <f t="shared" si="0"/>
        <v>CONNECTOR,,JST,B3B-PH-K-S(LF)(SN)</v>
      </c>
      <c r="C39" s="41" t="s">
        <v>15</v>
      </c>
      <c r="D39" s="41" t="s">
        <v>15</v>
      </c>
      <c r="E39" s="41" t="s">
        <v>15</v>
      </c>
      <c r="F39" s="41" t="s">
        <v>15</v>
      </c>
      <c r="G39" s="41"/>
      <c r="H39" s="41" t="s">
        <v>4184</v>
      </c>
      <c r="I39" s="41" t="s">
        <v>516</v>
      </c>
      <c r="J39" s="41" t="s">
        <v>15</v>
      </c>
      <c r="K39" s="41" t="s">
        <v>424</v>
      </c>
      <c r="L39" s="41" t="s">
        <v>15</v>
      </c>
      <c r="M39" s="41" t="s">
        <v>518</v>
      </c>
      <c r="O39" s="41" t="s">
        <v>517</v>
      </c>
    </row>
    <row r="40" spans="1:17" x14ac:dyDescent="0.25">
      <c r="A40" s="40" t="s">
        <v>4110</v>
      </c>
      <c r="B40" s="42" t="str">
        <f t="shared" si="0"/>
        <v>CONNECTOR,PINHEADER,2mm,SOCKET,10X2,2MM,SMD,CKMTW,B-2202N20P-B121</v>
      </c>
      <c r="C40" s="41" t="s">
        <v>15</v>
      </c>
      <c r="D40" s="41" t="s">
        <v>15</v>
      </c>
      <c r="E40" s="41" t="s">
        <v>15</v>
      </c>
      <c r="F40" s="41" t="s">
        <v>15</v>
      </c>
      <c r="G40" s="41" t="s">
        <v>4202</v>
      </c>
      <c r="H40" s="41" t="s">
        <v>519</v>
      </c>
      <c r="I40" s="41" t="s">
        <v>520</v>
      </c>
      <c r="J40" s="41" t="s">
        <v>15</v>
      </c>
      <c r="K40" s="41" t="s">
        <v>15</v>
      </c>
      <c r="L40" s="41" t="s">
        <v>15</v>
      </c>
      <c r="M40" s="41" t="s">
        <v>523</v>
      </c>
      <c r="Q40" s="41" t="s">
        <v>522</v>
      </c>
    </row>
    <row r="41" spans="1:17" x14ac:dyDescent="0.25">
      <c r="A41" s="40" t="s">
        <v>4111</v>
      </c>
      <c r="B41" s="42" t="str">
        <f t="shared" si="0"/>
        <v>CONNECTOR,JUMPER,2.54mm,YELLOW,EBAY,JUMPER-YELLOW</v>
      </c>
      <c r="C41" s="41" t="s">
        <v>15</v>
      </c>
      <c r="D41" s="41" t="s">
        <v>15</v>
      </c>
      <c r="E41" s="41" t="s">
        <v>15</v>
      </c>
      <c r="F41" s="41" t="s">
        <v>15</v>
      </c>
      <c r="G41" s="41" t="s">
        <v>4218</v>
      </c>
      <c r="H41" s="41" t="s">
        <v>121</v>
      </c>
      <c r="I41" s="41" t="s">
        <v>524</v>
      </c>
      <c r="J41" s="41" t="s">
        <v>15</v>
      </c>
      <c r="K41" s="41" t="s">
        <v>15</v>
      </c>
      <c r="L41" s="41" t="s">
        <v>15</v>
      </c>
      <c r="M41" s="41" t="s">
        <v>525</v>
      </c>
    </row>
    <row r="42" spans="1:17" x14ac:dyDescent="0.25">
      <c r="A42" s="40" t="s">
        <v>4112</v>
      </c>
      <c r="B42" s="42" t="str">
        <f t="shared" si="0"/>
        <v>CONNECTOR,JUMPER,2.54mm,BLACK,EBAY,JUMPER-BLACK</v>
      </c>
      <c r="C42" s="41" t="s">
        <v>15</v>
      </c>
      <c r="D42" s="41" t="s">
        <v>15</v>
      </c>
      <c r="E42" s="41" t="s">
        <v>15</v>
      </c>
      <c r="F42" s="41" t="s">
        <v>15</v>
      </c>
      <c r="G42" s="41" t="s">
        <v>4219</v>
      </c>
      <c r="H42" s="41" t="s">
        <v>121</v>
      </c>
      <c r="I42" s="41" t="s">
        <v>526</v>
      </c>
      <c r="J42" s="41" t="s">
        <v>15</v>
      </c>
      <c r="K42" s="41" t="s">
        <v>15</v>
      </c>
      <c r="L42" s="41" t="s">
        <v>15</v>
      </c>
      <c r="M42" s="41" t="s">
        <v>527</v>
      </c>
    </row>
    <row r="43" spans="1:17" x14ac:dyDescent="0.25">
      <c r="A43" s="40" t="s">
        <v>4113</v>
      </c>
      <c r="B43" s="42" t="str">
        <f t="shared" si="0"/>
        <v>CONNECTOR,JUMPER,2.54mm,GREEN,EBAY,JUMPER-GREEN</v>
      </c>
      <c r="C43" s="41" t="s">
        <v>15</v>
      </c>
      <c r="D43" s="41" t="s">
        <v>15</v>
      </c>
      <c r="E43" s="41" t="s">
        <v>15</v>
      </c>
      <c r="F43" s="41" t="s">
        <v>15</v>
      </c>
      <c r="G43" s="41" t="s">
        <v>4220</v>
      </c>
      <c r="H43" s="41" t="s">
        <v>121</v>
      </c>
      <c r="I43" s="41" t="s">
        <v>528</v>
      </c>
      <c r="J43" s="41" t="s">
        <v>15</v>
      </c>
      <c r="K43" s="41" t="s">
        <v>15</v>
      </c>
      <c r="L43" s="41" t="s">
        <v>15</v>
      </c>
      <c r="M43" s="41" t="s">
        <v>529</v>
      </c>
    </row>
    <row r="44" spans="1:17" x14ac:dyDescent="0.25">
      <c r="A44" s="40" t="s">
        <v>4114</v>
      </c>
      <c r="B44" s="42" t="str">
        <f t="shared" si="0"/>
        <v>CONNECTOR,JUMPER,2.54mm,RED,EBAY,JUMPER-RED</v>
      </c>
      <c r="C44" s="41" t="s">
        <v>15</v>
      </c>
      <c r="D44" s="41" t="s">
        <v>15</v>
      </c>
      <c r="E44" s="41" t="s">
        <v>15</v>
      </c>
      <c r="F44" s="41" t="s">
        <v>15</v>
      </c>
      <c r="G44" s="41" t="s">
        <v>4221</v>
      </c>
      <c r="H44" s="41" t="s">
        <v>121</v>
      </c>
      <c r="I44" s="41" t="s">
        <v>530</v>
      </c>
      <c r="J44" s="41" t="s">
        <v>15</v>
      </c>
      <c r="K44" s="41" t="s">
        <v>15</v>
      </c>
      <c r="L44" s="41" t="s">
        <v>15</v>
      </c>
      <c r="M44" s="41" t="s">
        <v>531</v>
      </c>
    </row>
    <row r="45" spans="1:17" x14ac:dyDescent="0.25">
      <c r="A45" s="40" t="s">
        <v>4115</v>
      </c>
      <c r="B45" s="42" t="str">
        <f t="shared" si="0"/>
        <v>CONNECTOR,JUMPER,2.54mm,BLUE,EBAY,JUMPER-BLUE</v>
      </c>
      <c r="C45" s="41" t="s">
        <v>15</v>
      </c>
      <c r="D45" s="41" t="s">
        <v>15</v>
      </c>
      <c r="E45" s="41" t="s">
        <v>15</v>
      </c>
      <c r="F45" s="41" t="s">
        <v>15</v>
      </c>
      <c r="G45" s="41" t="s">
        <v>4222</v>
      </c>
      <c r="H45" s="41" t="s">
        <v>121</v>
      </c>
      <c r="I45" s="41" t="s">
        <v>532</v>
      </c>
      <c r="J45" s="41" t="s">
        <v>15</v>
      </c>
      <c r="K45" s="41" t="s">
        <v>15</v>
      </c>
      <c r="L45" s="41" t="s">
        <v>15</v>
      </c>
      <c r="M45" s="41" t="s">
        <v>533</v>
      </c>
    </row>
    <row r="46" spans="1:17" x14ac:dyDescent="0.25">
      <c r="A46" s="40" t="s">
        <v>4116</v>
      </c>
      <c r="B46" s="42" t="str">
        <f t="shared" si="0"/>
        <v>CONNECTOR,IC SOCKET,ZIF 20,FAKE,ZIF20S</v>
      </c>
      <c r="C46" s="41" t="s">
        <v>15</v>
      </c>
      <c r="D46" s="41" t="s">
        <v>15</v>
      </c>
      <c r="E46" s="41" t="s">
        <v>15</v>
      </c>
      <c r="F46" s="41" t="s">
        <v>15</v>
      </c>
      <c r="G46" s="41" t="s">
        <v>4186</v>
      </c>
      <c r="H46" s="41" t="s">
        <v>534</v>
      </c>
      <c r="I46" s="41" t="s">
        <v>535</v>
      </c>
      <c r="J46" s="41" t="s">
        <v>15</v>
      </c>
      <c r="K46" s="41" t="s">
        <v>15</v>
      </c>
      <c r="L46" s="41" t="s">
        <v>15</v>
      </c>
      <c r="M46" s="41" t="s">
        <v>536</v>
      </c>
    </row>
    <row r="47" spans="1:17" x14ac:dyDescent="0.25">
      <c r="A47" s="40" t="s">
        <v>4117</v>
      </c>
      <c r="B47" s="42" t="str">
        <f t="shared" si="0"/>
        <v>CONNECTOR,IC SOCKET,ZIF 28 WIDE,FAKE,ZIF28W</v>
      </c>
      <c r="C47" s="41" t="s">
        <v>15</v>
      </c>
      <c r="D47" s="41" t="s">
        <v>15</v>
      </c>
      <c r="E47" s="41" t="s">
        <v>15</v>
      </c>
      <c r="F47" s="41" t="s">
        <v>15</v>
      </c>
      <c r="G47" s="41" t="s">
        <v>4185</v>
      </c>
      <c r="H47" s="41" t="s">
        <v>534</v>
      </c>
      <c r="I47" s="41" t="s">
        <v>537</v>
      </c>
      <c r="J47" s="41" t="s">
        <v>15</v>
      </c>
      <c r="K47" s="41" t="s">
        <v>15</v>
      </c>
      <c r="L47" s="41" t="s">
        <v>15</v>
      </c>
      <c r="M47" s="41" t="s">
        <v>538</v>
      </c>
    </row>
    <row r="48" spans="1:17" x14ac:dyDescent="0.25">
      <c r="A48" s="40" t="s">
        <v>4118</v>
      </c>
      <c r="B48" s="42" t="str">
        <f t="shared" si="0"/>
        <v>CONNECTOR,,JST,B2PS-VH(LF)</v>
      </c>
      <c r="C48" s="41" t="s">
        <v>15</v>
      </c>
      <c r="D48" s="41" t="s">
        <v>15</v>
      </c>
      <c r="E48" s="41" t="s">
        <v>15</v>
      </c>
      <c r="F48" s="41" t="s">
        <v>15</v>
      </c>
      <c r="G48" s="41"/>
      <c r="H48" s="41" t="s">
        <v>4184</v>
      </c>
      <c r="I48" s="41" t="s">
        <v>539</v>
      </c>
      <c r="J48" s="41" t="s">
        <v>15</v>
      </c>
      <c r="K48" s="41" t="s">
        <v>15</v>
      </c>
      <c r="L48" s="41" t="s">
        <v>15</v>
      </c>
      <c r="M48" s="41" t="s">
        <v>540</v>
      </c>
    </row>
    <row r="49" spans="1:13" x14ac:dyDescent="0.25">
      <c r="A49" s="40" t="s">
        <v>4119</v>
      </c>
      <c r="B49" s="42" t="str">
        <f t="shared" si="0"/>
        <v>CONNECTOR,MOLEX,SL70553,3X1,SHROUDED,R/A,MOLEX,0705530002</v>
      </c>
      <c r="C49" s="41" t="s">
        <v>15</v>
      </c>
      <c r="D49" s="41" t="s">
        <v>15</v>
      </c>
      <c r="E49" s="41" t="s">
        <v>15</v>
      </c>
      <c r="F49" s="41" t="s">
        <v>15</v>
      </c>
      <c r="G49" s="41" t="s">
        <v>4217</v>
      </c>
      <c r="H49" s="41" t="s">
        <v>459</v>
      </c>
      <c r="I49" s="41" t="s">
        <v>541</v>
      </c>
      <c r="J49" s="41" t="s">
        <v>15</v>
      </c>
      <c r="K49" s="41" t="s">
        <v>15</v>
      </c>
      <c r="L49" s="41" t="s">
        <v>15</v>
      </c>
      <c r="M49" s="41" t="s">
        <v>542</v>
      </c>
    </row>
    <row r="50" spans="1:13" x14ac:dyDescent="0.25">
      <c r="A50" s="40" t="s">
        <v>4120</v>
      </c>
      <c r="B50" s="42" t="str">
        <f t="shared" si="0"/>
        <v>CONNECTOR,PINHEADER,2.54mm,8X2,AMPHENOL,54102-T08-08</v>
      </c>
      <c r="C50" s="41" t="s">
        <v>15</v>
      </c>
      <c r="D50" s="41" t="s">
        <v>15</v>
      </c>
      <c r="E50" s="41" t="s">
        <v>15</v>
      </c>
      <c r="F50" s="41" t="s">
        <v>15</v>
      </c>
      <c r="G50" s="41" t="s">
        <v>4216</v>
      </c>
      <c r="H50" s="41" t="s">
        <v>543</v>
      </c>
      <c r="I50" s="41" t="s">
        <v>544</v>
      </c>
      <c r="J50" s="41" t="s">
        <v>15</v>
      </c>
      <c r="K50" s="41" t="s">
        <v>15</v>
      </c>
      <c r="L50" s="41" t="s">
        <v>15</v>
      </c>
      <c r="M50" s="41" t="s">
        <v>545</v>
      </c>
    </row>
    <row r="51" spans="1:13" x14ac:dyDescent="0.25">
      <c r="A51" s="40" t="s">
        <v>4121</v>
      </c>
      <c r="B51" s="42" t="str">
        <f t="shared" si="0"/>
        <v>CONNECTOR,,,VHR-2N</v>
      </c>
      <c r="C51" s="41" t="s">
        <v>15</v>
      </c>
      <c r="D51" s="41" t="s">
        <v>15</v>
      </c>
      <c r="E51" s="41" t="s">
        <v>15</v>
      </c>
      <c r="F51" s="41" t="s">
        <v>15</v>
      </c>
      <c r="G51" s="41"/>
      <c r="H51" s="41" t="s">
        <v>15</v>
      </c>
      <c r="I51" s="41" t="s">
        <v>546</v>
      </c>
      <c r="J51" s="41" t="s">
        <v>15</v>
      </c>
      <c r="K51" s="41" t="s">
        <v>15</v>
      </c>
      <c r="L51" s="41" t="s">
        <v>15</v>
      </c>
      <c r="M51" s="41" t="s">
        <v>547</v>
      </c>
    </row>
    <row r="52" spans="1:13" x14ac:dyDescent="0.25">
      <c r="A52" s="40" t="s">
        <v>4122</v>
      </c>
      <c r="B52" s="42" t="str">
        <f t="shared" si="0"/>
        <v>CONNECTOR,IC SOCKET,PLCC28,SMD,,PLCC28SMD</v>
      </c>
      <c r="C52" s="41" t="s">
        <v>15</v>
      </c>
      <c r="D52" s="41" t="s">
        <v>15</v>
      </c>
      <c r="E52" s="41" t="s">
        <v>15</v>
      </c>
      <c r="F52" s="41" t="s">
        <v>15</v>
      </c>
      <c r="G52" s="41" t="s">
        <v>4183</v>
      </c>
      <c r="H52" s="41" t="s">
        <v>15</v>
      </c>
      <c r="I52" s="41" t="s">
        <v>548</v>
      </c>
      <c r="J52" s="41" t="s">
        <v>15</v>
      </c>
      <c r="K52" s="41" t="s">
        <v>15</v>
      </c>
      <c r="L52" s="41" t="s">
        <v>15</v>
      </c>
      <c r="M52" s="41" t="s">
        <v>549</v>
      </c>
    </row>
    <row r="53" spans="1:13" x14ac:dyDescent="0.25">
      <c r="A53" s="40" t="s">
        <v>4123</v>
      </c>
      <c r="B53" s="42" t="str">
        <f t="shared" si="0"/>
        <v>CONNECTOR,DOUBLE BANANA,RED,POMONOA,DOUBLE BANANA RED</v>
      </c>
      <c r="C53" s="41" t="s">
        <v>15</v>
      </c>
      <c r="D53" s="41" t="s">
        <v>15</v>
      </c>
      <c r="E53" s="41" t="s">
        <v>15</v>
      </c>
      <c r="F53" s="41" t="s">
        <v>15</v>
      </c>
      <c r="G53" s="41" t="s">
        <v>4182</v>
      </c>
      <c r="H53" s="41" t="s">
        <v>550</v>
      </c>
      <c r="I53" s="41" t="s">
        <v>551</v>
      </c>
      <c r="J53" s="41" t="s">
        <v>15</v>
      </c>
      <c r="K53" s="41" t="s">
        <v>15</v>
      </c>
      <c r="L53" s="41" t="s">
        <v>15</v>
      </c>
      <c r="M53" s="41" t="s">
        <v>552</v>
      </c>
    </row>
    <row r="54" spans="1:13" x14ac:dyDescent="0.25">
      <c r="A54" s="40" t="s">
        <v>4124</v>
      </c>
      <c r="B54" s="42" t="str">
        <f t="shared" si="0"/>
        <v>CONNECTOR,BOXHEADER,2.54mm,7X2,,BOXHEADER14</v>
      </c>
      <c r="C54" s="41" t="s">
        <v>15</v>
      </c>
      <c r="D54" s="41" t="s">
        <v>15</v>
      </c>
      <c r="E54" s="41" t="s">
        <v>15</v>
      </c>
      <c r="F54" s="41" t="s">
        <v>15</v>
      </c>
      <c r="G54" s="41" t="s">
        <v>4215</v>
      </c>
      <c r="H54" s="41" t="s">
        <v>15</v>
      </c>
      <c r="I54" s="41" t="s">
        <v>553</v>
      </c>
      <c r="J54" s="41" t="s">
        <v>15</v>
      </c>
      <c r="K54" s="41" t="s">
        <v>15</v>
      </c>
      <c r="L54" s="41" t="s">
        <v>15</v>
      </c>
      <c r="M54" s="41" t="s">
        <v>554</v>
      </c>
    </row>
    <row r="55" spans="1:13" x14ac:dyDescent="0.25">
      <c r="A55" s="40" t="s">
        <v>4125</v>
      </c>
      <c r="B55" s="42" t="str">
        <f t="shared" si="0"/>
        <v>CONNECTOR,PHOENIX MSTB 2,5/2,PHOENIX,1754449</v>
      </c>
      <c r="C55" s="41" t="s">
        <v>15</v>
      </c>
      <c r="D55" s="41" t="s">
        <v>15</v>
      </c>
      <c r="E55" s="41" t="s">
        <v>15</v>
      </c>
      <c r="F55" s="41" t="s">
        <v>15</v>
      </c>
      <c r="G55" s="41" t="s">
        <v>4179</v>
      </c>
      <c r="H55" s="41" t="s">
        <v>555</v>
      </c>
      <c r="I55" s="41" t="s">
        <v>556</v>
      </c>
      <c r="J55" s="41" t="s">
        <v>15</v>
      </c>
      <c r="K55" s="41" t="s">
        <v>15</v>
      </c>
      <c r="L55" s="41" t="s">
        <v>15</v>
      </c>
      <c r="M55" s="41" t="s">
        <v>557</v>
      </c>
    </row>
    <row r="56" spans="1:13" x14ac:dyDescent="0.25">
      <c r="A56" s="40" t="s">
        <v>4126</v>
      </c>
      <c r="B56" s="42" t="str">
        <f t="shared" si="0"/>
        <v>CONNECTOR,PHOENIX MSTB 2,5/3,PHOENIX,1754465</v>
      </c>
      <c r="C56" s="41" t="s">
        <v>15</v>
      </c>
      <c r="D56" s="41" t="s">
        <v>15</v>
      </c>
      <c r="E56" s="41" t="s">
        <v>15</v>
      </c>
      <c r="F56" s="41" t="s">
        <v>15</v>
      </c>
      <c r="G56" s="41" t="s">
        <v>4180</v>
      </c>
      <c r="H56" s="41" t="s">
        <v>555</v>
      </c>
      <c r="I56" s="41" t="s">
        <v>558</v>
      </c>
      <c r="J56" s="41" t="s">
        <v>15</v>
      </c>
      <c r="K56" s="41" t="s">
        <v>15</v>
      </c>
      <c r="L56" s="41" t="s">
        <v>15</v>
      </c>
      <c r="M56" s="41" t="s">
        <v>559</v>
      </c>
    </row>
    <row r="57" spans="1:13" x14ac:dyDescent="0.25">
      <c r="A57" s="40" t="s">
        <v>4127</v>
      </c>
      <c r="B57" s="42" t="str">
        <f t="shared" si="0"/>
        <v>CONNECTOR,PHOENIX MSTB 2,5/9,PHOENIX,1754588</v>
      </c>
      <c r="C57" s="41" t="s">
        <v>15</v>
      </c>
      <c r="D57" s="41" t="s">
        <v>15</v>
      </c>
      <c r="E57" s="41" t="s">
        <v>15</v>
      </c>
      <c r="F57" s="41" t="s">
        <v>15</v>
      </c>
      <c r="G57" s="41" t="s">
        <v>4181</v>
      </c>
      <c r="H57" s="41" t="s">
        <v>555</v>
      </c>
      <c r="I57" s="41" t="s">
        <v>560</v>
      </c>
      <c r="J57" s="41" t="s">
        <v>15</v>
      </c>
      <c r="K57" s="41" t="s">
        <v>15</v>
      </c>
      <c r="L57" s="41" t="s">
        <v>15</v>
      </c>
      <c r="M57" s="41" t="s">
        <v>561</v>
      </c>
    </row>
    <row r="58" spans="1:13" x14ac:dyDescent="0.25">
      <c r="A58" s="40" t="s">
        <v>4128</v>
      </c>
      <c r="B58" s="42" t="str">
        <f t="shared" si="0"/>
        <v>CONNECTOR,BANANA,SAFETY SHROUD,BLUE,JAMECO,BANANA SAFETY SHROUD BLUE</v>
      </c>
      <c r="C58" s="41" t="s">
        <v>15</v>
      </c>
      <c r="D58" s="41" t="s">
        <v>15</v>
      </c>
      <c r="E58" s="41" t="s">
        <v>15</v>
      </c>
      <c r="F58" s="41" t="s">
        <v>15</v>
      </c>
      <c r="G58" s="41" t="s">
        <v>4187</v>
      </c>
      <c r="H58" s="41" t="s">
        <v>61</v>
      </c>
      <c r="I58" s="41" t="s">
        <v>562</v>
      </c>
      <c r="J58" s="41" t="s">
        <v>15</v>
      </c>
      <c r="K58" s="41" t="s">
        <v>15</v>
      </c>
      <c r="L58" s="41" t="s">
        <v>15</v>
      </c>
      <c r="M58" s="41" t="s">
        <v>564</v>
      </c>
    </row>
    <row r="59" spans="1:13" x14ac:dyDescent="0.25">
      <c r="A59" s="40" t="s">
        <v>4129</v>
      </c>
      <c r="B59" s="42" t="str">
        <f t="shared" si="0"/>
        <v>CONNECTOR,BANANA,SAFETY SHROUD,YELLOW,JAMECO,BANANA SAFETY SHROUD YELLOW</v>
      </c>
      <c r="C59" s="41" t="s">
        <v>15</v>
      </c>
      <c r="D59" s="41" t="s">
        <v>15</v>
      </c>
      <c r="E59" s="41" t="s">
        <v>15</v>
      </c>
      <c r="F59" s="41" t="s">
        <v>15</v>
      </c>
      <c r="G59" s="41" t="s">
        <v>4188</v>
      </c>
      <c r="H59" s="41" t="s">
        <v>61</v>
      </c>
      <c r="I59" s="41" t="s">
        <v>565</v>
      </c>
      <c r="J59" s="41" t="s">
        <v>15</v>
      </c>
      <c r="K59" s="41" t="s">
        <v>15</v>
      </c>
      <c r="L59" s="41" t="s">
        <v>15</v>
      </c>
      <c r="M59" s="41" t="s">
        <v>566</v>
      </c>
    </row>
    <row r="60" spans="1:13" x14ac:dyDescent="0.25">
      <c r="A60" s="40" t="s">
        <v>4130</v>
      </c>
      <c r="B60" s="42" t="str">
        <f t="shared" si="0"/>
        <v>CONNECTOR,BANANA,SAFETY SHROUD,RED,JAMECO,BANANA SAFETY SHROUD RED</v>
      </c>
      <c r="C60" s="41" t="s">
        <v>15</v>
      </c>
      <c r="D60" s="41" t="s">
        <v>15</v>
      </c>
      <c r="E60" s="41" t="s">
        <v>15</v>
      </c>
      <c r="F60" s="41" t="s">
        <v>15</v>
      </c>
      <c r="G60" s="41" t="s">
        <v>4189</v>
      </c>
      <c r="H60" s="41" t="s">
        <v>61</v>
      </c>
      <c r="I60" s="41" t="s">
        <v>567</v>
      </c>
      <c r="J60" s="41" t="s">
        <v>15</v>
      </c>
      <c r="K60" s="41" t="s">
        <v>15</v>
      </c>
      <c r="L60" s="41" t="s">
        <v>15</v>
      </c>
      <c r="M60" s="41" t="s">
        <v>568</v>
      </c>
    </row>
    <row r="61" spans="1:13" x14ac:dyDescent="0.25">
      <c r="A61" s="40" t="s">
        <v>4131</v>
      </c>
      <c r="B61" s="42" t="str">
        <f t="shared" si="0"/>
        <v>CONNECTOR,BANANA,SAFETY SHROUD,BLACK,JAMECO,BANANA SAFETY SHROUD BLACK</v>
      </c>
      <c r="C61" s="41" t="s">
        <v>15</v>
      </c>
      <c r="D61" s="41" t="s">
        <v>15</v>
      </c>
      <c r="E61" s="41" t="s">
        <v>15</v>
      </c>
      <c r="F61" s="41" t="s">
        <v>15</v>
      </c>
      <c r="G61" s="41" t="s">
        <v>4190</v>
      </c>
      <c r="H61" s="41" t="s">
        <v>61</v>
      </c>
      <c r="I61" s="41" t="s">
        <v>569</v>
      </c>
      <c r="J61" s="41" t="s">
        <v>15</v>
      </c>
      <c r="K61" s="41" t="s">
        <v>15</v>
      </c>
      <c r="L61" s="41" t="s">
        <v>15</v>
      </c>
      <c r="M61" s="41" t="s">
        <v>570</v>
      </c>
    </row>
    <row r="62" spans="1:13" x14ac:dyDescent="0.25">
      <c r="A62" s="40" t="s">
        <v>4132</v>
      </c>
      <c r="B62" s="42" t="str">
        <f t="shared" si="0"/>
        <v>CONNECTOR,JUMPER,100MIL,YELLOW,EBAY,JUMPER 100MIL YELLOW</v>
      </c>
      <c r="C62" s="41" t="s">
        <v>15</v>
      </c>
      <c r="D62" s="41" t="s">
        <v>15</v>
      </c>
      <c r="E62" s="41" t="s">
        <v>15</v>
      </c>
      <c r="F62" s="41" t="s">
        <v>15</v>
      </c>
      <c r="G62" s="41" t="s">
        <v>4191</v>
      </c>
      <c r="H62" s="41" t="s">
        <v>121</v>
      </c>
      <c r="I62" s="41" t="s">
        <v>571</v>
      </c>
      <c r="J62" s="41" t="s">
        <v>15</v>
      </c>
      <c r="K62" s="41" t="s">
        <v>15</v>
      </c>
      <c r="L62" s="41" t="s">
        <v>15</v>
      </c>
      <c r="M62" s="41" t="s">
        <v>572</v>
      </c>
    </row>
    <row r="63" spans="1:13" x14ac:dyDescent="0.25">
      <c r="A63" s="40" t="s">
        <v>4133</v>
      </c>
      <c r="B63" s="42" t="str">
        <f t="shared" si="0"/>
        <v>CONNECTOR,JUMPER,100MIL,RED,EBAY,JUMPER 100MIL RED</v>
      </c>
      <c r="C63" s="41" t="s">
        <v>15</v>
      </c>
      <c r="D63" s="41" t="s">
        <v>15</v>
      </c>
      <c r="E63" s="41" t="s">
        <v>15</v>
      </c>
      <c r="F63" s="41" t="s">
        <v>15</v>
      </c>
      <c r="G63" s="41" t="s">
        <v>4192</v>
      </c>
      <c r="H63" s="41" t="s">
        <v>121</v>
      </c>
      <c r="I63" s="41" t="s">
        <v>573</v>
      </c>
      <c r="J63" s="41" t="s">
        <v>15</v>
      </c>
      <c r="K63" s="41" t="s">
        <v>15</v>
      </c>
      <c r="L63" s="41" t="s">
        <v>15</v>
      </c>
      <c r="M63" s="41" t="s">
        <v>574</v>
      </c>
    </row>
    <row r="64" spans="1:13" x14ac:dyDescent="0.25">
      <c r="A64" s="40" t="s">
        <v>4134</v>
      </c>
      <c r="B64" s="42" t="str">
        <f t="shared" si="0"/>
        <v>CONNECTOR,JUMPER,100MIL,BLUE,EBAY,JUMPER 100 MIL BLUE</v>
      </c>
      <c r="C64" s="41" t="s">
        <v>15</v>
      </c>
      <c r="D64" s="41" t="s">
        <v>15</v>
      </c>
      <c r="E64" s="41" t="s">
        <v>15</v>
      </c>
      <c r="F64" s="41" t="s">
        <v>15</v>
      </c>
      <c r="G64" s="41" t="s">
        <v>4193</v>
      </c>
      <c r="H64" s="41" t="s">
        <v>121</v>
      </c>
      <c r="I64" s="41" t="s">
        <v>575</v>
      </c>
      <c r="J64" s="41" t="s">
        <v>15</v>
      </c>
      <c r="K64" s="41" t="s">
        <v>15</v>
      </c>
      <c r="L64" s="41" t="s">
        <v>15</v>
      </c>
      <c r="M64" s="41" t="s">
        <v>576</v>
      </c>
    </row>
    <row r="65" spans="1:13" x14ac:dyDescent="0.25">
      <c r="A65" s="40" t="s">
        <v>4135</v>
      </c>
      <c r="B65" s="42" t="str">
        <f t="shared" si="0"/>
        <v>CONNECTOR,JUMPER,100MIL,GREEN,EBAY,JUMPER 100MIL GREEN</v>
      </c>
      <c r="C65" s="41" t="s">
        <v>15</v>
      </c>
      <c r="D65" s="41" t="s">
        <v>15</v>
      </c>
      <c r="E65" s="41" t="s">
        <v>15</v>
      </c>
      <c r="F65" s="41" t="s">
        <v>15</v>
      </c>
      <c r="G65" s="41" t="s">
        <v>4194</v>
      </c>
      <c r="H65" s="41" t="s">
        <v>121</v>
      </c>
      <c r="I65" s="41" t="s">
        <v>577</v>
      </c>
      <c r="J65" s="41" t="s">
        <v>15</v>
      </c>
      <c r="K65" s="41" t="s">
        <v>15</v>
      </c>
      <c r="L65" s="41" t="s">
        <v>15</v>
      </c>
      <c r="M65" s="41" t="s">
        <v>578</v>
      </c>
    </row>
    <row r="66" spans="1:13" x14ac:dyDescent="0.25">
      <c r="A66" s="40" t="s">
        <v>4136</v>
      </c>
      <c r="B66" s="42" t="str">
        <f t="shared" si="0"/>
        <v>CONNECTOR,JUMPER,100MIL,WHITE,EBAY,JUMPER 100MIL WHITE</v>
      </c>
      <c r="C66" s="41" t="s">
        <v>15</v>
      </c>
      <c r="D66" s="41" t="s">
        <v>15</v>
      </c>
      <c r="E66" s="41" t="s">
        <v>15</v>
      </c>
      <c r="F66" s="41" t="s">
        <v>15</v>
      </c>
      <c r="G66" s="41" t="s">
        <v>4195</v>
      </c>
      <c r="H66" s="41" t="s">
        <v>121</v>
      </c>
      <c r="I66" s="41" t="s">
        <v>579</v>
      </c>
      <c r="J66" s="41" t="s">
        <v>15</v>
      </c>
      <c r="K66" s="41" t="s">
        <v>15</v>
      </c>
      <c r="L66" s="41" t="s">
        <v>15</v>
      </c>
      <c r="M66" s="41" t="s">
        <v>580</v>
      </c>
    </row>
    <row r="67" spans="1:13" x14ac:dyDescent="0.25">
      <c r="A67" s="40" t="s">
        <v>4137</v>
      </c>
      <c r="B67" s="42" t="str">
        <f t="shared" ref="B67:B85" si="1">_xlfn.CONCAT("CONNECTOR,",G67,",",H67,",",I67)</f>
        <v>CONNECTOR,JUMPER,100MIL,BLACK,EBAY,JUMPER 100MIL BLACK</v>
      </c>
      <c r="C67" s="41" t="s">
        <v>15</v>
      </c>
      <c r="D67" s="41" t="s">
        <v>15</v>
      </c>
      <c r="E67" s="41" t="s">
        <v>15</v>
      </c>
      <c r="F67" s="41" t="s">
        <v>15</v>
      </c>
      <c r="G67" s="41" t="s">
        <v>4196</v>
      </c>
      <c r="H67" s="41" t="s">
        <v>121</v>
      </c>
      <c r="I67" s="41" t="s">
        <v>581</v>
      </c>
      <c r="J67" s="41" t="s">
        <v>15</v>
      </c>
      <c r="K67" s="41" t="s">
        <v>15</v>
      </c>
      <c r="L67" s="41" t="s">
        <v>15</v>
      </c>
      <c r="M67" s="41" t="s">
        <v>582</v>
      </c>
    </row>
    <row r="68" spans="1:13" x14ac:dyDescent="0.25">
      <c r="A68" s="40" t="s">
        <v>4138</v>
      </c>
      <c r="B68" s="42" t="str">
        <f t="shared" si="1"/>
        <v>CONNECTOR,MODJACK,8P8C,RA,ASSMAN,A-2014-2-4-R</v>
      </c>
      <c r="C68" s="41" t="s">
        <v>15</v>
      </c>
      <c r="D68" s="41" t="s">
        <v>15</v>
      </c>
      <c r="E68" s="41" t="s">
        <v>15</v>
      </c>
      <c r="F68" s="41" t="s">
        <v>15</v>
      </c>
      <c r="G68" s="41" t="s">
        <v>4214</v>
      </c>
      <c r="H68" s="41" t="s">
        <v>583</v>
      </c>
      <c r="I68" s="41" t="s">
        <v>3925</v>
      </c>
      <c r="J68" s="41" t="s">
        <v>15</v>
      </c>
      <c r="K68" s="41" t="s">
        <v>15</v>
      </c>
      <c r="L68" s="41" t="s">
        <v>15</v>
      </c>
      <c r="M68" s="41" t="s">
        <v>584</v>
      </c>
    </row>
    <row r="69" spans="1:13" x14ac:dyDescent="0.25">
      <c r="A69" s="40" t="s">
        <v>4139</v>
      </c>
      <c r="B69" s="42" t="str">
        <f t="shared" si="1"/>
        <v>CONNECTOR,MODJACK,8P8C,RA,STEWART,SS-6488-NF</v>
      </c>
      <c r="C69" s="41" t="s">
        <v>15</v>
      </c>
      <c r="D69" s="41" t="s">
        <v>15</v>
      </c>
      <c r="E69" s="41" t="s">
        <v>15</v>
      </c>
      <c r="F69" s="41" t="s">
        <v>15</v>
      </c>
      <c r="G69" s="41" t="s">
        <v>4214</v>
      </c>
      <c r="H69" s="41" t="s">
        <v>585</v>
      </c>
      <c r="I69" s="41" t="s">
        <v>586</v>
      </c>
      <c r="J69" s="41" t="s">
        <v>15</v>
      </c>
      <c r="K69" s="41" t="s">
        <v>15</v>
      </c>
      <c r="L69" s="41" t="s">
        <v>15</v>
      </c>
      <c r="M69" s="41" t="s">
        <v>587</v>
      </c>
    </row>
    <row r="70" spans="1:13" x14ac:dyDescent="0.25">
      <c r="A70" s="40" t="s">
        <v>4140</v>
      </c>
      <c r="B70" s="42" t="str">
        <f t="shared" si="1"/>
        <v>CONNECTOR,PHOENIX MSTB 2,5/2,PHOENIX COPY,MSTB 2,5/ 2-ST-5,08</v>
      </c>
      <c r="C70" s="41" t="s">
        <v>15</v>
      </c>
      <c r="D70" s="41" t="s">
        <v>15</v>
      </c>
      <c r="E70" s="41" t="s">
        <v>15</v>
      </c>
      <c r="F70" s="41" t="s">
        <v>15</v>
      </c>
      <c r="G70" s="41" t="s">
        <v>4179</v>
      </c>
      <c r="H70" s="41" t="s">
        <v>588</v>
      </c>
      <c r="I70" s="41" t="s">
        <v>589</v>
      </c>
      <c r="J70" s="41" t="s">
        <v>15</v>
      </c>
      <c r="K70" s="41" t="s">
        <v>15</v>
      </c>
      <c r="L70" s="41" t="s">
        <v>15</v>
      </c>
      <c r="M70" s="41" t="s">
        <v>590</v>
      </c>
    </row>
    <row r="71" spans="1:13" x14ac:dyDescent="0.25">
      <c r="A71" s="40" t="s">
        <v>4141</v>
      </c>
      <c r="B71" s="42" t="str">
        <f t="shared" si="1"/>
        <v>CONNECTOR,PHOENIX MSTB 2,5/3,,MSTB 2,5/ 3-ST-5,08</v>
      </c>
      <c r="C71" s="41" t="s">
        <v>15</v>
      </c>
      <c r="D71" s="41" t="s">
        <v>15</v>
      </c>
      <c r="E71" s="41" t="s">
        <v>15</v>
      </c>
      <c r="F71" s="41" t="s">
        <v>15</v>
      </c>
      <c r="G71" s="41" t="s">
        <v>4180</v>
      </c>
      <c r="H71" s="41" t="s">
        <v>15</v>
      </c>
      <c r="I71" s="41" t="s">
        <v>591</v>
      </c>
      <c r="J71" s="41" t="s">
        <v>15</v>
      </c>
      <c r="K71" s="41" t="s">
        <v>15</v>
      </c>
      <c r="L71" s="41" t="s">
        <v>15</v>
      </c>
      <c r="M71" s="41" t="s">
        <v>592</v>
      </c>
    </row>
    <row r="72" spans="1:13" x14ac:dyDescent="0.25">
      <c r="A72" s="40" t="s">
        <v>4142</v>
      </c>
      <c r="B72" s="42" t="str">
        <f t="shared" si="1"/>
        <v>CONNECTOR,PHOENIX MSTBW 2,5/2,,MSTBW 2,5/ 2-G-5,08</v>
      </c>
      <c r="C72" s="41" t="s">
        <v>15</v>
      </c>
      <c r="D72" s="41" t="s">
        <v>15</v>
      </c>
      <c r="E72" s="41" t="s">
        <v>15</v>
      </c>
      <c r="F72" s="41" t="s">
        <v>15</v>
      </c>
      <c r="G72" s="41" t="s">
        <v>4198</v>
      </c>
      <c r="H72" s="41" t="s">
        <v>15</v>
      </c>
      <c r="I72" s="41" t="s">
        <v>593</v>
      </c>
      <c r="J72" s="41" t="s">
        <v>15</v>
      </c>
      <c r="K72" s="41" t="s">
        <v>15</v>
      </c>
      <c r="L72" s="41" t="s">
        <v>15</v>
      </c>
      <c r="M72" s="41" t="s">
        <v>594</v>
      </c>
    </row>
    <row r="73" spans="1:13" x14ac:dyDescent="0.25">
      <c r="A73" s="40" t="s">
        <v>4143</v>
      </c>
      <c r="B73" s="42" t="str">
        <f t="shared" si="1"/>
        <v>CONNECTOR,PHOENIX MSTBW 2,5/3,,MSTBW 2,5/ 3-G-5,08</v>
      </c>
      <c r="C73" s="41" t="s">
        <v>15</v>
      </c>
      <c r="D73" s="41" t="s">
        <v>15</v>
      </c>
      <c r="E73" s="41" t="s">
        <v>15</v>
      </c>
      <c r="F73" s="41" t="s">
        <v>15</v>
      </c>
      <c r="G73" s="41" t="s">
        <v>4199</v>
      </c>
      <c r="H73" s="41" t="s">
        <v>15</v>
      </c>
      <c r="I73" s="41" t="s">
        <v>595</v>
      </c>
      <c r="J73" s="41" t="s">
        <v>15</v>
      </c>
      <c r="K73" s="41" t="s">
        <v>15</v>
      </c>
      <c r="L73" s="41" t="s">
        <v>15</v>
      </c>
      <c r="M73" s="41" t="s">
        <v>596</v>
      </c>
    </row>
    <row r="74" spans="1:13" x14ac:dyDescent="0.25">
      <c r="A74" s="40" t="s">
        <v>4144</v>
      </c>
      <c r="B74" s="42" t="str">
        <f t="shared" si="1"/>
        <v>CONNECTOR,PHOENIX MSTBW 2,5/5,,MSTBW 2,5/ 5-G-5,08</v>
      </c>
      <c r="C74" s="41" t="s">
        <v>15</v>
      </c>
      <c r="D74" s="41" t="s">
        <v>15</v>
      </c>
      <c r="E74" s="41" t="s">
        <v>15</v>
      </c>
      <c r="F74" s="41" t="s">
        <v>15</v>
      </c>
      <c r="G74" s="41" t="s">
        <v>4200</v>
      </c>
      <c r="H74" s="41" t="s">
        <v>15</v>
      </c>
      <c r="I74" s="41" t="s">
        <v>597</v>
      </c>
      <c r="J74" s="41" t="s">
        <v>15</v>
      </c>
      <c r="K74" s="41" t="s">
        <v>15</v>
      </c>
      <c r="L74" s="41" t="s">
        <v>15</v>
      </c>
      <c r="M74" s="41" t="s">
        <v>598</v>
      </c>
    </row>
    <row r="75" spans="1:13" x14ac:dyDescent="0.25">
      <c r="A75" s="40" t="s">
        <v>4145</v>
      </c>
      <c r="B75" s="42" t="str">
        <f t="shared" si="1"/>
        <v>CONNECTOR,PHOENIX MSTBW 2,5/3,,MSTBW 2,5/ 3-G-5,08</v>
      </c>
      <c r="C75" s="41" t="s">
        <v>15</v>
      </c>
      <c r="D75" s="41" t="s">
        <v>15</v>
      </c>
      <c r="E75" s="41" t="s">
        <v>15</v>
      </c>
      <c r="F75" s="41" t="s">
        <v>15</v>
      </c>
      <c r="G75" s="41" t="s">
        <v>4199</v>
      </c>
      <c r="H75" s="41" t="s">
        <v>15</v>
      </c>
      <c r="I75" s="41" t="s">
        <v>595</v>
      </c>
      <c r="J75" s="41" t="s">
        <v>15</v>
      </c>
      <c r="K75" s="41" t="s">
        <v>15</v>
      </c>
      <c r="L75" s="41" t="s">
        <v>15</v>
      </c>
      <c r="M75" s="41" t="s">
        <v>596</v>
      </c>
    </row>
    <row r="76" spans="1:13" x14ac:dyDescent="0.25">
      <c r="A76" s="40" t="s">
        <v>4146</v>
      </c>
      <c r="B76" s="42" t="str">
        <f t="shared" si="1"/>
        <v>CONNECTOR,PHOENIX MSTBW 2,5/9,,MSTBW 2,5/ 9-G-5,08</v>
      </c>
      <c r="C76" s="41" t="s">
        <v>15</v>
      </c>
      <c r="D76" s="41" t="s">
        <v>15</v>
      </c>
      <c r="E76" s="41" t="s">
        <v>15</v>
      </c>
      <c r="F76" s="41" t="s">
        <v>15</v>
      </c>
      <c r="G76" s="41" t="s">
        <v>4201</v>
      </c>
      <c r="H76" s="41" t="s">
        <v>15</v>
      </c>
      <c r="I76" s="41" t="s">
        <v>599</v>
      </c>
      <c r="J76" s="41" t="s">
        <v>15</v>
      </c>
      <c r="K76" s="41" t="s">
        <v>15</v>
      </c>
      <c r="L76" s="41" t="s">
        <v>15</v>
      </c>
      <c r="M76" s="41" t="s">
        <v>600</v>
      </c>
    </row>
    <row r="77" spans="1:13" x14ac:dyDescent="0.25">
      <c r="A77" s="40" t="s">
        <v>4147</v>
      </c>
      <c r="B77" s="42" t="str">
        <f t="shared" si="1"/>
        <v>CONNECTOR,PHOENIX MSTB 2,5/5,,MSTB 2,5/ 5-ST-5,08</v>
      </c>
      <c r="C77" s="41" t="s">
        <v>15</v>
      </c>
      <c r="D77" s="41" t="s">
        <v>15</v>
      </c>
      <c r="E77" s="41" t="s">
        <v>15</v>
      </c>
      <c r="F77" s="41" t="s">
        <v>15</v>
      </c>
      <c r="G77" s="41" t="s">
        <v>4197</v>
      </c>
      <c r="H77" s="41" t="s">
        <v>15</v>
      </c>
      <c r="I77" s="41" t="s">
        <v>601</v>
      </c>
      <c r="J77" s="41" t="s">
        <v>15</v>
      </c>
      <c r="K77" s="41" t="s">
        <v>15</v>
      </c>
      <c r="L77" s="41" t="s">
        <v>15</v>
      </c>
      <c r="M77" s="41" t="s">
        <v>602</v>
      </c>
    </row>
    <row r="78" spans="1:13" x14ac:dyDescent="0.25">
      <c r="A78" s="40" t="s">
        <v>4148</v>
      </c>
      <c r="B78" s="42" t="str">
        <f t="shared" si="1"/>
        <v>CONNECTOR,PINHEADER,2.54mm,72X1,BLACK,,PINHEADER 2.54 1X72 BLACK</v>
      </c>
      <c r="C78" s="41" t="s">
        <v>15</v>
      </c>
      <c r="D78" s="41" t="s">
        <v>15</v>
      </c>
      <c r="E78" s="41" t="s">
        <v>15</v>
      </c>
      <c r="F78" s="41" t="s">
        <v>15</v>
      </c>
      <c r="G78" s="41" t="s">
        <v>4207</v>
      </c>
      <c r="H78" s="41" t="s">
        <v>15</v>
      </c>
      <c r="I78" s="41" t="s">
        <v>603</v>
      </c>
      <c r="J78" s="41" t="s">
        <v>15</v>
      </c>
      <c r="K78" s="41" t="s">
        <v>15</v>
      </c>
      <c r="L78" s="41" t="s">
        <v>15</v>
      </c>
      <c r="M78" s="41" t="s">
        <v>604</v>
      </c>
    </row>
    <row r="79" spans="1:13" x14ac:dyDescent="0.25">
      <c r="A79" s="40" t="s">
        <v>4149</v>
      </c>
      <c r="B79" s="42" t="str">
        <f t="shared" si="1"/>
        <v>CONNECTOR,PINHEADER,2.54mm,72X1,RED,,PINHEADER 2.54 1X72 RED</v>
      </c>
      <c r="C79" s="41" t="s">
        <v>15</v>
      </c>
      <c r="D79" s="41" t="s">
        <v>15</v>
      </c>
      <c r="E79" s="41" t="s">
        <v>15</v>
      </c>
      <c r="F79" s="41" t="s">
        <v>15</v>
      </c>
      <c r="G79" s="41" t="s">
        <v>4208</v>
      </c>
      <c r="H79" s="41" t="s">
        <v>15</v>
      </c>
      <c r="I79" s="41" t="s">
        <v>605</v>
      </c>
      <c r="J79" s="41" t="s">
        <v>15</v>
      </c>
      <c r="K79" s="41" t="s">
        <v>15</v>
      </c>
      <c r="L79" s="41" t="s">
        <v>15</v>
      </c>
      <c r="M79" s="41" t="s">
        <v>606</v>
      </c>
    </row>
    <row r="80" spans="1:13" x14ac:dyDescent="0.25">
      <c r="A80" s="40" t="s">
        <v>4150</v>
      </c>
      <c r="B80" s="42" t="str">
        <f t="shared" si="1"/>
        <v>CONNECTOR,PINHEADER,2.54mm,72X1,YELLOW,,PINHEADER 2.54 1X72 YELLOW</v>
      </c>
      <c r="C80" s="41" t="s">
        <v>15</v>
      </c>
      <c r="D80" s="41" t="s">
        <v>15</v>
      </c>
      <c r="E80" s="41" t="s">
        <v>15</v>
      </c>
      <c r="F80" s="41" t="s">
        <v>15</v>
      </c>
      <c r="G80" s="41" t="s">
        <v>4209</v>
      </c>
      <c r="H80" s="41" t="s">
        <v>15</v>
      </c>
      <c r="I80" s="41" t="s">
        <v>607</v>
      </c>
      <c r="J80" s="41" t="s">
        <v>15</v>
      </c>
      <c r="K80" s="41" t="s">
        <v>15</v>
      </c>
      <c r="L80" s="41" t="s">
        <v>15</v>
      </c>
      <c r="M80" s="41" t="s">
        <v>608</v>
      </c>
    </row>
    <row r="81" spans="1:13" x14ac:dyDescent="0.25">
      <c r="A81" s="40" t="s">
        <v>4151</v>
      </c>
      <c r="B81" s="42" t="str">
        <f t="shared" si="1"/>
        <v>CONNECTOR,PINHEADER,2.54mm,72X1,WHITE,,PINHEADER 2.54 1X72 WHITE</v>
      </c>
      <c r="C81" s="41" t="s">
        <v>15</v>
      </c>
      <c r="D81" s="41" t="s">
        <v>15</v>
      </c>
      <c r="E81" s="41" t="s">
        <v>15</v>
      </c>
      <c r="F81" s="41" t="s">
        <v>15</v>
      </c>
      <c r="G81" s="41" t="s">
        <v>4210</v>
      </c>
      <c r="H81" s="41" t="s">
        <v>15</v>
      </c>
      <c r="I81" s="41" t="s">
        <v>609</v>
      </c>
      <c r="J81" s="41" t="s">
        <v>15</v>
      </c>
      <c r="K81" s="41" t="s">
        <v>15</v>
      </c>
      <c r="L81" s="41" t="s">
        <v>15</v>
      </c>
      <c r="M81" s="41" t="s">
        <v>610</v>
      </c>
    </row>
    <row r="82" spans="1:13" x14ac:dyDescent="0.25">
      <c r="A82" s="40" t="s">
        <v>4152</v>
      </c>
      <c r="B82" s="42" t="str">
        <f t="shared" si="1"/>
        <v>CONNECTOR,PINHEADER,2.54mm,72X1,GREY,,PINHEADER 2.54 1X72 GREY</v>
      </c>
      <c r="C82" s="41" t="s">
        <v>15</v>
      </c>
      <c r="D82" s="41" t="s">
        <v>15</v>
      </c>
      <c r="E82" s="41" t="s">
        <v>15</v>
      </c>
      <c r="F82" s="41" t="s">
        <v>15</v>
      </c>
      <c r="G82" s="41" t="s">
        <v>4211</v>
      </c>
      <c r="H82" s="41" t="s">
        <v>15</v>
      </c>
      <c r="I82" s="41" t="s">
        <v>611</v>
      </c>
      <c r="J82" s="41" t="s">
        <v>15</v>
      </c>
      <c r="K82" s="41" t="s">
        <v>15</v>
      </c>
      <c r="L82" s="41" t="s">
        <v>15</v>
      </c>
      <c r="M82" s="41" t="s">
        <v>612</v>
      </c>
    </row>
    <row r="83" spans="1:13" x14ac:dyDescent="0.25">
      <c r="A83" s="40" t="s">
        <v>4153</v>
      </c>
      <c r="B83" s="42" t="str">
        <f t="shared" si="1"/>
        <v>CONNECTOR,PINHEADER,2.54mm,SOCKET,72X2,SAMTEC,FEMALE PINHEADER 2.54 2X72 BLACK</v>
      </c>
      <c r="C83" s="41" t="s">
        <v>15</v>
      </c>
      <c r="D83" s="41" t="s">
        <v>15</v>
      </c>
      <c r="E83" s="41" t="s">
        <v>15</v>
      </c>
      <c r="F83" s="41" t="s">
        <v>15</v>
      </c>
      <c r="G83" s="41" t="s">
        <v>4212</v>
      </c>
      <c r="H83" s="41" t="s">
        <v>613</v>
      </c>
      <c r="I83" s="41" t="s">
        <v>614</v>
      </c>
      <c r="J83" s="41" t="s">
        <v>15</v>
      </c>
      <c r="K83" s="41" t="s">
        <v>15</v>
      </c>
      <c r="L83" s="41" t="s">
        <v>15</v>
      </c>
      <c r="M83" s="41" t="s">
        <v>615</v>
      </c>
    </row>
    <row r="84" spans="1:13" x14ac:dyDescent="0.25">
      <c r="A84" s="40" t="s">
        <v>4154</v>
      </c>
      <c r="B84" s="42" t="str">
        <f t="shared" si="1"/>
        <v>CONNECTOR,PINHEADER,2.54mm,72X1,BLUE,,PINHEADER 2.54 1X72 BLUE</v>
      </c>
      <c r="C84" s="41" t="s">
        <v>15</v>
      </c>
      <c r="D84" s="41" t="s">
        <v>15</v>
      </c>
      <c r="E84" s="41" t="s">
        <v>15</v>
      </c>
      <c r="F84" s="41" t="s">
        <v>15</v>
      </c>
      <c r="G84" s="41" t="s">
        <v>4213</v>
      </c>
      <c r="H84" s="41" t="s">
        <v>15</v>
      </c>
      <c r="I84" s="41" t="s">
        <v>616</v>
      </c>
      <c r="J84" s="41" t="s">
        <v>15</v>
      </c>
      <c r="K84" s="41" t="s">
        <v>15</v>
      </c>
      <c r="L84" s="41" t="s">
        <v>15</v>
      </c>
      <c r="M84" s="41" t="s">
        <v>617</v>
      </c>
    </row>
    <row r="85" spans="1:13" x14ac:dyDescent="0.25">
      <c r="A85" s="40" t="s">
        <v>4155</v>
      </c>
      <c r="B85" s="42" t="str">
        <f t="shared" si="1"/>
        <v>CONNECTOR,,YAMAICHI,IC51-2084-1052</v>
      </c>
      <c r="C85" s="41" t="s">
        <v>15</v>
      </c>
      <c r="D85" s="41" t="s">
        <v>15</v>
      </c>
      <c r="E85" s="41" t="s">
        <v>15</v>
      </c>
      <c r="F85" s="41" t="s">
        <v>15</v>
      </c>
      <c r="G85" s="41"/>
      <c r="H85" s="41" t="s">
        <v>618</v>
      </c>
      <c r="I85" s="41" t="s">
        <v>619</v>
      </c>
      <c r="J85" s="41" t="s">
        <v>15</v>
      </c>
      <c r="K85" s="41" t="s">
        <v>15</v>
      </c>
      <c r="L85" s="41" t="s">
        <v>15</v>
      </c>
      <c r="M85" s="41" t="s">
        <v>620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6068-F1C8-4588-B98C-E00EB7AA2271}">
  <dimension ref="A1:P19"/>
  <sheetViews>
    <sheetView workbookViewId="0">
      <selection activeCell="L1" sqref="L1:L1048576"/>
    </sheetView>
  </sheetViews>
  <sheetFormatPr defaultColWidth="62.85546875" defaultRowHeight="15" x14ac:dyDescent="0.25"/>
  <cols>
    <col min="1" max="1" width="11" style="3" bestFit="1" customWidth="1"/>
    <col min="2" max="2" width="57.5703125" bestFit="1" customWidth="1"/>
    <col min="3" max="3" width="10.140625" style="3" bestFit="1" customWidth="1"/>
    <col min="4" max="4" width="11.42578125" style="3" bestFit="1" customWidth="1"/>
    <col min="5" max="5" width="12.140625" style="3" bestFit="1" customWidth="1"/>
    <col min="6" max="6" width="13.5703125" style="3" bestFit="1" customWidth="1"/>
    <col min="7" max="7" width="13.5703125" style="3" customWidth="1"/>
    <col min="8" max="8" width="12.85546875" style="3" bestFit="1" customWidth="1"/>
    <col min="9" max="9" width="26.5703125" style="3" bestFit="1" customWidth="1"/>
    <col min="10" max="10" width="8.5703125" style="3" bestFit="1" customWidth="1"/>
    <col min="11" max="11" width="11.5703125" style="3" bestFit="1" customWidth="1"/>
    <col min="12" max="12" width="38.7109375" style="3" bestFit="1" customWidth="1"/>
    <col min="13" max="13" width="8" style="3" bestFit="1" customWidth="1"/>
    <col min="14" max="14" width="16" style="3" customWidth="1"/>
    <col min="15" max="15" width="8.42578125" style="3" bestFit="1" customWidth="1"/>
    <col min="16" max="16" width="5.140625" style="3" bestFit="1" customWidth="1"/>
    <col min="17" max="16384" width="62.85546875" style="3"/>
  </cols>
  <sheetData>
    <row r="1" spans="1:16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33" t="s">
        <v>4014</v>
      </c>
      <c r="H1" s="28" t="s">
        <v>6</v>
      </c>
      <c r="I1" s="28" t="s">
        <v>7</v>
      </c>
      <c r="J1" s="28" t="s">
        <v>8</v>
      </c>
      <c r="K1" s="28" t="s">
        <v>622</v>
      </c>
      <c r="L1" s="28" t="s">
        <v>14</v>
      </c>
      <c r="M1" s="27" t="s">
        <v>61</v>
      </c>
      <c r="N1" s="27" t="s">
        <v>1971</v>
      </c>
      <c r="O1" s="27" t="s">
        <v>1120</v>
      </c>
      <c r="P1" s="27" t="s">
        <v>521</v>
      </c>
    </row>
    <row r="2" spans="1:16" x14ac:dyDescent="0.25">
      <c r="A2" s="29" t="s">
        <v>4032</v>
      </c>
      <c r="B2" s="32" t="str">
        <f t="shared" ref="B2:B18" si="0">_xlfn.CONCAT(G2,",",K2,",",H2,",",I2,",",J2)</f>
        <v>CRYSTAL,25MHz,CTS,ATS250BSM-1,HC49/US</v>
      </c>
      <c r="C2" s="30" t="s">
        <v>15</v>
      </c>
      <c r="D2" s="30" t="s">
        <v>15</v>
      </c>
      <c r="E2" s="30" t="s">
        <v>15</v>
      </c>
      <c r="F2" s="30" t="s">
        <v>15</v>
      </c>
      <c r="G2" s="30" t="s">
        <v>4049</v>
      </c>
      <c r="H2" s="30" t="s">
        <v>623</v>
      </c>
      <c r="I2" s="30" t="s">
        <v>624</v>
      </c>
      <c r="J2" s="30" t="s">
        <v>625</v>
      </c>
      <c r="K2" s="30" t="s">
        <v>626</v>
      </c>
      <c r="L2" s="30" t="s">
        <v>627</v>
      </c>
    </row>
    <row r="3" spans="1:16" x14ac:dyDescent="0.25">
      <c r="A3" s="29" t="s">
        <v>4033</v>
      </c>
      <c r="B3" s="32" t="str">
        <f t="shared" si="0"/>
        <v>CRYSTAL,32.768KHZ,SEIKO,VT200F-6PF20PPM,CAN-TH</v>
      </c>
      <c r="C3" s="30" t="s">
        <v>15</v>
      </c>
      <c r="D3" s="30" t="s">
        <v>15</v>
      </c>
      <c r="E3" s="30" t="s">
        <v>15</v>
      </c>
      <c r="F3" s="30" t="s">
        <v>15</v>
      </c>
      <c r="G3" s="30" t="s">
        <v>4049</v>
      </c>
      <c r="H3" s="30" t="s">
        <v>628</v>
      </c>
      <c r="I3" s="30" t="s">
        <v>629</v>
      </c>
      <c r="J3" s="30" t="s">
        <v>630</v>
      </c>
      <c r="K3" s="30" t="s">
        <v>631</v>
      </c>
      <c r="L3" s="30" t="s">
        <v>632</v>
      </c>
    </row>
    <row r="4" spans="1:16" x14ac:dyDescent="0.25">
      <c r="A4" s="29" t="s">
        <v>4034</v>
      </c>
      <c r="B4" s="32" t="str">
        <f t="shared" si="0"/>
        <v>CRYSTAL,16MHZ,EPSON,TSX-3225-16.0000MF09Z-AC0,3225</v>
      </c>
      <c r="C4" s="30" t="s">
        <v>15</v>
      </c>
      <c r="D4" s="30" t="s">
        <v>15</v>
      </c>
      <c r="E4" s="30" t="s">
        <v>15</v>
      </c>
      <c r="F4" s="30" t="s">
        <v>15</v>
      </c>
      <c r="G4" s="30" t="s">
        <v>4049</v>
      </c>
      <c r="H4" s="30" t="s">
        <v>633</v>
      </c>
      <c r="I4" s="30" t="s">
        <v>634</v>
      </c>
      <c r="J4" s="30" t="s">
        <v>635</v>
      </c>
      <c r="K4" s="30" t="s">
        <v>636</v>
      </c>
      <c r="L4" s="30" t="s">
        <v>637</v>
      </c>
    </row>
    <row r="5" spans="1:16" x14ac:dyDescent="0.25">
      <c r="A5" s="29" t="s">
        <v>4035</v>
      </c>
      <c r="B5" s="32" t="str">
        <f t="shared" si="0"/>
        <v>CRYSTAL,22.11,EPSON,FS22.11,HC49/US</v>
      </c>
      <c r="C5" s="30" t="s">
        <v>15</v>
      </c>
      <c r="D5" s="30" t="s">
        <v>15</v>
      </c>
      <c r="E5" s="30" t="s">
        <v>15</v>
      </c>
      <c r="F5" s="30" t="s">
        <v>15</v>
      </c>
      <c r="G5" s="30" t="s">
        <v>4049</v>
      </c>
      <c r="H5" s="30" t="s">
        <v>633</v>
      </c>
      <c r="I5" s="30" t="s">
        <v>638</v>
      </c>
      <c r="J5" s="30" t="s">
        <v>625</v>
      </c>
      <c r="K5" s="30" t="s">
        <v>639</v>
      </c>
      <c r="L5" s="30" t="s">
        <v>640</v>
      </c>
    </row>
    <row r="6" spans="1:16" x14ac:dyDescent="0.25">
      <c r="A6" s="29" t="s">
        <v>4036</v>
      </c>
      <c r="B6" s="32" t="str">
        <f t="shared" si="0"/>
        <v>CRYSTAL,25MHZ,VISHAY,XOSM573BE-25,7050</v>
      </c>
      <c r="C6" s="30" t="s">
        <v>15</v>
      </c>
      <c r="D6" s="30" t="s">
        <v>15</v>
      </c>
      <c r="E6" s="30" t="s">
        <v>15</v>
      </c>
      <c r="F6" s="30" t="s">
        <v>15</v>
      </c>
      <c r="G6" s="30" t="s">
        <v>4049</v>
      </c>
      <c r="H6" s="30" t="s">
        <v>176</v>
      </c>
      <c r="I6" s="30" t="s">
        <v>641</v>
      </c>
      <c r="J6" s="30" t="s">
        <v>642</v>
      </c>
      <c r="K6" s="30" t="s">
        <v>643</v>
      </c>
      <c r="L6" s="30" t="s">
        <v>644</v>
      </c>
    </row>
    <row r="7" spans="1:16" x14ac:dyDescent="0.25">
      <c r="A7" s="29" t="s">
        <v>4037</v>
      </c>
      <c r="B7" s="32" t="str">
        <f t="shared" si="0"/>
        <v>CRYSTAL,16MHZ,MISC,A160E07,HC49/US</v>
      </c>
      <c r="C7" s="30" t="s">
        <v>15</v>
      </c>
      <c r="D7" s="30" t="s">
        <v>15</v>
      </c>
      <c r="E7" s="30" t="s">
        <v>15</v>
      </c>
      <c r="F7" s="30" t="s">
        <v>15</v>
      </c>
      <c r="G7" s="30" t="s">
        <v>4049</v>
      </c>
      <c r="H7" s="30" t="s">
        <v>466</v>
      </c>
      <c r="I7" s="30" t="s">
        <v>645</v>
      </c>
      <c r="J7" s="30" t="s">
        <v>625</v>
      </c>
      <c r="K7" s="30" t="s">
        <v>636</v>
      </c>
      <c r="L7" s="30" t="s">
        <v>646</v>
      </c>
    </row>
    <row r="8" spans="1:16" x14ac:dyDescent="0.25">
      <c r="A8" s="29" t="s">
        <v>4038</v>
      </c>
      <c r="B8" s="32" t="str">
        <f t="shared" si="0"/>
        <v>CRYSTAL,110.592MHZ,FOX,FOX115,HC49TH</v>
      </c>
      <c r="C8" s="30" t="s">
        <v>15</v>
      </c>
      <c r="D8" s="30" t="s">
        <v>15</v>
      </c>
      <c r="E8" s="30" t="s">
        <v>15</v>
      </c>
      <c r="F8" s="30" t="s">
        <v>15</v>
      </c>
      <c r="G8" s="30" t="s">
        <v>4049</v>
      </c>
      <c r="H8" s="30" t="s">
        <v>647</v>
      </c>
      <c r="I8" s="30" t="s">
        <v>648</v>
      </c>
      <c r="J8" s="30" t="s">
        <v>649</v>
      </c>
      <c r="K8" s="30" t="s">
        <v>650</v>
      </c>
      <c r="L8" s="30" t="s">
        <v>651</v>
      </c>
    </row>
    <row r="9" spans="1:16" x14ac:dyDescent="0.25">
      <c r="A9" s="29" t="s">
        <v>4039</v>
      </c>
      <c r="B9" s="32" t="str">
        <f t="shared" si="0"/>
        <v>CRYSTAL,4MHZ,MISC,MISC,HC49TH</v>
      </c>
      <c r="C9" s="30" t="s">
        <v>15</v>
      </c>
      <c r="D9" s="30" t="s">
        <v>15</v>
      </c>
      <c r="E9" s="30" t="s">
        <v>15</v>
      </c>
      <c r="F9" s="30" t="s">
        <v>15</v>
      </c>
      <c r="G9" s="30" t="s">
        <v>4049</v>
      </c>
      <c r="H9" s="30" t="s">
        <v>466</v>
      </c>
      <c r="I9" s="30" t="s">
        <v>466</v>
      </c>
      <c r="J9" s="30" t="s">
        <v>649</v>
      </c>
      <c r="K9" s="30" t="s">
        <v>652</v>
      </c>
      <c r="L9" s="30" t="s">
        <v>653</v>
      </c>
    </row>
    <row r="10" spans="1:16" x14ac:dyDescent="0.25">
      <c r="A10" s="29" t="s">
        <v>4040</v>
      </c>
      <c r="B10" s="32" t="str">
        <f t="shared" si="0"/>
        <v>CRYSTAL,8MHZ,ABRACON,ABLS-8.000MHZ-B4-T,HC49/US</v>
      </c>
      <c r="C10" s="30" t="s">
        <v>15</v>
      </c>
      <c r="D10" s="30" t="s">
        <v>15</v>
      </c>
      <c r="E10" s="30" t="s">
        <v>15</v>
      </c>
      <c r="F10" s="30" t="s">
        <v>15</v>
      </c>
      <c r="G10" s="30" t="s">
        <v>4049</v>
      </c>
      <c r="H10" s="30" t="s">
        <v>654</v>
      </c>
      <c r="I10" s="30" t="s">
        <v>655</v>
      </c>
      <c r="J10" s="30" t="s">
        <v>625</v>
      </c>
      <c r="K10" s="30" t="s">
        <v>656</v>
      </c>
      <c r="L10" s="30" t="s">
        <v>658</v>
      </c>
      <c r="N10" s="30" t="s">
        <v>657</v>
      </c>
    </row>
    <row r="11" spans="1:16" x14ac:dyDescent="0.25">
      <c r="A11" s="29" t="s">
        <v>4041</v>
      </c>
      <c r="B11" s="32" t="str">
        <f t="shared" si="0"/>
        <v>CRYSTAL,32.768KHZ,ABRACON,ABS07AIG-32.768KHZ-7-T,3215</v>
      </c>
      <c r="C11" s="30" t="s">
        <v>15</v>
      </c>
      <c r="D11" s="30" t="s">
        <v>15</v>
      </c>
      <c r="E11" s="30" t="s">
        <v>15</v>
      </c>
      <c r="F11" s="30" t="s">
        <v>15</v>
      </c>
      <c r="G11" s="30" t="s">
        <v>4049</v>
      </c>
      <c r="H11" s="30" t="s">
        <v>654</v>
      </c>
      <c r="I11" s="30" t="s">
        <v>659</v>
      </c>
      <c r="J11" s="30" t="s">
        <v>660</v>
      </c>
      <c r="K11" s="30" t="s">
        <v>631</v>
      </c>
      <c r="L11" s="30" t="s">
        <v>15</v>
      </c>
      <c r="N11" s="30" t="s">
        <v>4051</v>
      </c>
    </row>
    <row r="12" spans="1:16" x14ac:dyDescent="0.25">
      <c r="A12" s="29" t="s">
        <v>4042</v>
      </c>
      <c r="B12" s="32" t="str">
        <f t="shared" si="0"/>
        <v>CRYSTAL,16MHZ,TDK,SX32Y016000B91T,3225</v>
      </c>
      <c r="C12" s="30" t="s">
        <v>15</v>
      </c>
      <c r="D12" s="30" t="s">
        <v>15</v>
      </c>
      <c r="E12" s="30" t="s">
        <v>15</v>
      </c>
      <c r="F12" s="30" t="s">
        <v>15</v>
      </c>
      <c r="G12" s="30" t="s">
        <v>4049</v>
      </c>
      <c r="H12" s="30" t="s">
        <v>252</v>
      </c>
      <c r="I12" s="30" t="s">
        <v>661</v>
      </c>
      <c r="J12" s="30" t="s">
        <v>635</v>
      </c>
      <c r="K12" s="30" t="s">
        <v>636</v>
      </c>
      <c r="L12" s="30" t="s">
        <v>662</v>
      </c>
    </row>
    <row r="13" spans="1:16" x14ac:dyDescent="0.25">
      <c r="A13" s="29" t="s">
        <v>4043</v>
      </c>
      <c r="B13" s="32" t="str">
        <f t="shared" si="0"/>
        <v>CRYSTAL,32.768K,EPSON,FC-135R 32.7680KA-A3,3215</v>
      </c>
      <c r="C13" s="30" t="s">
        <v>15</v>
      </c>
      <c r="D13" s="30" t="s">
        <v>15</v>
      </c>
      <c r="E13" s="30" t="s">
        <v>15</v>
      </c>
      <c r="F13" s="30" t="s">
        <v>15</v>
      </c>
      <c r="G13" s="30" t="s">
        <v>4049</v>
      </c>
      <c r="H13" s="30" t="s">
        <v>633</v>
      </c>
      <c r="I13" s="30" t="s">
        <v>663</v>
      </c>
      <c r="J13" s="30" t="s">
        <v>660</v>
      </c>
      <c r="K13" s="30" t="s">
        <v>664</v>
      </c>
      <c r="L13" s="30" t="s">
        <v>665</v>
      </c>
    </row>
    <row r="14" spans="1:16" x14ac:dyDescent="0.25">
      <c r="A14" s="29" t="s">
        <v>4044</v>
      </c>
      <c r="B14" s="32" t="str">
        <f t="shared" si="0"/>
        <v>CRYSTAL,6.0MHz,GENERIC,FS6.000,HC49/US</v>
      </c>
      <c r="C14" s="30" t="s">
        <v>15</v>
      </c>
      <c r="D14" s="30" t="s">
        <v>15</v>
      </c>
      <c r="E14" s="30" t="s">
        <v>15</v>
      </c>
      <c r="F14" s="30" t="s">
        <v>15</v>
      </c>
      <c r="G14" s="30" t="s">
        <v>4049</v>
      </c>
      <c r="H14" s="30" t="s">
        <v>4050</v>
      </c>
      <c r="I14" s="30" t="s">
        <v>666</v>
      </c>
      <c r="J14" s="30" t="s">
        <v>625</v>
      </c>
      <c r="K14" s="30" t="s">
        <v>667</v>
      </c>
      <c r="L14" s="30" t="s">
        <v>668</v>
      </c>
    </row>
    <row r="15" spans="1:16" x14ac:dyDescent="0.25">
      <c r="A15" s="29" t="s">
        <v>4045</v>
      </c>
      <c r="B15" s="32" t="str">
        <f t="shared" si="0"/>
        <v>CRYSTAL,4.096MHz,GENERIC,FS0496-2,HC49TH</v>
      </c>
      <c r="C15" s="30" t="s">
        <v>15</v>
      </c>
      <c r="D15" s="30" t="s">
        <v>15</v>
      </c>
      <c r="E15" s="30" t="s">
        <v>15</v>
      </c>
      <c r="F15" s="30" t="s">
        <v>15</v>
      </c>
      <c r="G15" s="30" t="s">
        <v>4049</v>
      </c>
      <c r="H15" s="30" t="s">
        <v>4050</v>
      </c>
      <c r="I15" s="30" t="s">
        <v>669</v>
      </c>
      <c r="J15" s="30" t="s">
        <v>649</v>
      </c>
      <c r="K15" s="30" t="s">
        <v>670</v>
      </c>
      <c r="L15" s="30" t="s">
        <v>671</v>
      </c>
    </row>
    <row r="16" spans="1:16" x14ac:dyDescent="0.25">
      <c r="A16" s="29" t="s">
        <v>4046</v>
      </c>
      <c r="B16" s="32" t="str">
        <f t="shared" si="0"/>
        <v>CRYSTAL,6.176MHz,GENERIC,FS6.176,HC49TH</v>
      </c>
      <c r="C16" s="30" t="s">
        <v>15</v>
      </c>
      <c r="D16" s="30" t="s">
        <v>15</v>
      </c>
      <c r="E16" s="30" t="s">
        <v>15</v>
      </c>
      <c r="F16" s="30" t="s">
        <v>15</v>
      </c>
      <c r="G16" s="30" t="s">
        <v>4049</v>
      </c>
      <c r="H16" s="30" t="s">
        <v>4050</v>
      </c>
      <c r="I16" s="30" t="s">
        <v>672</v>
      </c>
      <c r="J16" s="30" t="s">
        <v>649</v>
      </c>
      <c r="K16" s="30" t="s">
        <v>673</v>
      </c>
      <c r="L16" s="30" t="s">
        <v>674</v>
      </c>
    </row>
    <row r="17" spans="1:12" x14ac:dyDescent="0.25">
      <c r="A17" s="29" t="s">
        <v>4047</v>
      </c>
      <c r="B17" s="32" t="str">
        <f t="shared" si="0"/>
        <v>CRYSTAL,20MHz,GENERIC,SG615G-20,</v>
      </c>
      <c r="C17" s="30" t="s">
        <v>15</v>
      </c>
      <c r="D17" s="30" t="s">
        <v>15</v>
      </c>
      <c r="E17" s="30" t="s">
        <v>15</v>
      </c>
      <c r="F17" s="30" t="s">
        <v>15</v>
      </c>
      <c r="G17" s="30" t="s">
        <v>4049</v>
      </c>
      <c r="H17" s="30" t="s">
        <v>4050</v>
      </c>
      <c r="I17" s="30" t="s">
        <v>675</v>
      </c>
      <c r="J17" s="30" t="s">
        <v>15</v>
      </c>
      <c r="K17" s="30" t="s">
        <v>676</v>
      </c>
      <c r="L17" s="30" t="s">
        <v>677</v>
      </c>
    </row>
    <row r="18" spans="1:12" x14ac:dyDescent="0.25">
      <c r="A18" s="29" t="s">
        <v>4048</v>
      </c>
      <c r="B18" s="32" t="str">
        <f t="shared" si="0"/>
        <v>CRYSTAL,12MHz,GENERIC,ILSI-12.0-113,</v>
      </c>
      <c r="C18" s="30" t="s">
        <v>15</v>
      </c>
      <c r="D18" s="30" t="s">
        <v>15</v>
      </c>
      <c r="E18" s="30" t="s">
        <v>15</v>
      </c>
      <c r="F18" s="30" t="s">
        <v>15</v>
      </c>
      <c r="G18" s="30" t="s">
        <v>4049</v>
      </c>
      <c r="H18" s="30" t="s">
        <v>4050</v>
      </c>
      <c r="I18" s="30" t="s">
        <v>678</v>
      </c>
      <c r="J18" s="30" t="s">
        <v>15</v>
      </c>
      <c r="K18" s="30" t="s">
        <v>679</v>
      </c>
      <c r="L18" s="30" t="s">
        <v>680</v>
      </c>
    </row>
    <row r="19" spans="1:12" x14ac:dyDescent="0.25">
      <c r="A19" s="29"/>
      <c r="B19" s="32"/>
      <c r="C19" s="30"/>
      <c r="D19" s="30"/>
      <c r="E19" s="30"/>
      <c r="F19" s="30"/>
      <c r="G19" s="30"/>
      <c r="H19" s="30"/>
      <c r="I19" s="30"/>
      <c r="J19" s="30"/>
      <c r="K19" s="30"/>
      <c r="L19" s="30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0012-723D-4F0A-B5FF-EF377529AE98}">
  <dimension ref="A1:S128"/>
  <sheetViews>
    <sheetView workbookViewId="0">
      <selection activeCell="L1" sqref="L1:L1048576"/>
    </sheetView>
  </sheetViews>
  <sheetFormatPr defaultColWidth="78.140625" defaultRowHeight="15" x14ac:dyDescent="0.25"/>
  <cols>
    <col min="1" max="1" width="10" style="3" bestFit="1" customWidth="1"/>
    <col min="2" max="2" width="77.5703125" style="3" bestFit="1" customWidth="1"/>
    <col min="3" max="3" width="27.5703125" style="3" bestFit="1" customWidth="1"/>
    <col min="4" max="4" width="22.85546875" style="3" bestFit="1" customWidth="1"/>
    <col min="5" max="5" width="12.7109375" style="3" bestFit="1" customWidth="1"/>
    <col min="6" max="6" width="13.85546875" style="3" bestFit="1" customWidth="1"/>
    <col min="7" max="7" width="30.140625" style="3" bestFit="1" customWidth="1"/>
    <col min="8" max="8" width="25.28515625" style="3" bestFit="1" customWidth="1"/>
    <col min="9" max="9" width="19.85546875" style="3" bestFit="1" customWidth="1"/>
    <col min="10" max="10" width="10" style="3" bestFit="1" customWidth="1"/>
    <col min="11" max="11" width="26.28515625" style="3" bestFit="1" customWidth="1"/>
    <col min="12" max="12" width="7.42578125" style="3" bestFit="1" customWidth="1"/>
    <col min="13" max="13" width="6.28515625" style="3" bestFit="1" customWidth="1"/>
    <col min="14" max="14" width="13.28515625" style="3" bestFit="1" customWidth="1"/>
    <col min="15" max="15" width="7.5703125" style="3" bestFit="1" customWidth="1"/>
    <col min="16" max="16" width="8" style="3" bestFit="1" customWidth="1"/>
    <col min="17" max="17" width="7.85546875" style="3" bestFit="1" customWidth="1"/>
    <col min="18" max="18" width="8.42578125" style="3" bestFit="1" customWidth="1"/>
    <col min="19" max="19" width="5.140625" style="3" bestFit="1" customWidth="1"/>
    <col min="20" max="16384" width="78.140625" style="3"/>
  </cols>
  <sheetData>
    <row r="1" spans="1:19" s="27" customForma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4014</v>
      </c>
      <c r="H1" s="26" t="s">
        <v>6</v>
      </c>
      <c r="I1" s="26" t="s">
        <v>7</v>
      </c>
      <c r="J1" s="26" t="s">
        <v>8</v>
      </c>
      <c r="K1" s="26" t="s">
        <v>14</v>
      </c>
      <c r="L1" s="26" t="s">
        <v>681</v>
      </c>
      <c r="M1" s="26" t="s">
        <v>682</v>
      </c>
      <c r="N1" s="26" t="s">
        <v>4030</v>
      </c>
      <c r="O1" s="26" t="s">
        <v>31</v>
      </c>
      <c r="P1" s="27" t="s">
        <v>61</v>
      </c>
      <c r="Q1" s="27" t="s">
        <v>1971</v>
      </c>
      <c r="R1" s="27" t="s">
        <v>1120</v>
      </c>
      <c r="S1" s="27" t="s">
        <v>521</v>
      </c>
    </row>
    <row r="2" spans="1:19" x14ac:dyDescent="0.25">
      <c r="A2" s="8">
        <v>1</v>
      </c>
      <c r="B2" s="9" t="str">
        <f t="shared" ref="B2:B33" si="0">_xlfn.CONCAT("DIODE,",G2,",",M2,",",L2,",",H2,",",I2,",",J2)</f>
        <v>DIODE,BRIDGE,1000V,0.5A,ONSEMI,MB10S,SO4</v>
      </c>
      <c r="C2" s="9" t="s">
        <v>683</v>
      </c>
      <c r="D2" s="9" t="s">
        <v>684</v>
      </c>
      <c r="E2" s="9" t="s">
        <v>15</v>
      </c>
      <c r="F2" s="9" t="s">
        <v>15</v>
      </c>
      <c r="G2" s="9" t="s">
        <v>691</v>
      </c>
      <c r="H2" s="9" t="s">
        <v>685</v>
      </c>
      <c r="I2" s="9" t="s">
        <v>686</v>
      </c>
      <c r="J2" s="9" t="s">
        <v>687</v>
      </c>
      <c r="K2" s="9" t="s">
        <v>688</v>
      </c>
      <c r="L2" s="9" t="s">
        <v>689</v>
      </c>
      <c r="M2" s="9" t="s">
        <v>690</v>
      </c>
      <c r="N2" s="9"/>
      <c r="O2" s="9" t="s">
        <v>15</v>
      </c>
    </row>
    <row r="3" spans="1:19" x14ac:dyDescent="0.25">
      <c r="A3" s="8">
        <v>2</v>
      </c>
      <c r="B3" s="9" t="str">
        <f t="shared" si="0"/>
        <v>DIODE,SWITCHING,75V,0.3A,VISHAY,MMBD4148-7,SOT23</v>
      </c>
      <c r="C3" s="9" t="s">
        <v>692</v>
      </c>
      <c r="D3" s="9" t="s">
        <v>684</v>
      </c>
      <c r="E3" s="9" t="s">
        <v>693</v>
      </c>
      <c r="F3" s="9" t="s">
        <v>15</v>
      </c>
      <c r="G3" s="9" t="s">
        <v>698</v>
      </c>
      <c r="H3" s="9" t="s">
        <v>176</v>
      </c>
      <c r="I3" s="9" t="s">
        <v>694</v>
      </c>
      <c r="J3" s="9" t="s">
        <v>693</v>
      </c>
      <c r="K3" s="9" t="s">
        <v>695</v>
      </c>
      <c r="L3" s="9" t="s">
        <v>696</v>
      </c>
      <c r="M3" s="9" t="s">
        <v>697</v>
      </c>
      <c r="N3" s="9" t="s">
        <v>15</v>
      </c>
      <c r="O3" s="9" t="s">
        <v>15</v>
      </c>
    </row>
    <row r="4" spans="1:19" x14ac:dyDescent="0.25">
      <c r="A4" s="8">
        <v>3</v>
      </c>
      <c r="B4" s="9" t="str">
        <f t="shared" si="0"/>
        <v>DIODE,SWITCHING,85V,0.21A,NXP,BAW56,SOT23</v>
      </c>
      <c r="C4" s="9" t="s">
        <v>692</v>
      </c>
      <c r="D4" s="9" t="s">
        <v>684</v>
      </c>
      <c r="E4" s="9" t="s">
        <v>693</v>
      </c>
      <c r="F4" s="9" t="s">
        <v>15</v>
      </c>
      <c r="G4" s="9" t="s">
        <v>698</v>
      </c>
      <c r="H4" s="9" t="s">
        <v>699</v>
      </c>
      <c r="I4" s="9" t="s">
        <v>700</v>
      </c>
      <c r="J4" s="9" t="s">
        <v>693</v>
      </c>
      <c r="K4" s="9" t="s">
        <v>701</v>
      </c>
      <c r="L4" s="9" t="s">
        <v>702</v>
      </c>
      <c r="M4" s="9" t="s">
        <v>703</v>
      </c>
      <c r="N4" s="9" t="s">
        <v>15</v>
      </c>
      <c r="O4" s="9" t="s">
        <v>15</v>
      </c>
    </row>
    <row r="5" spans="1:19" x14ac:dyDescent="0.25">
      <c r="A5" s="8">
        <v>4</v>
      </c>
      <c r="B5" s="9" t="str">
        <f t="shared" si="0"/>
        <v>DIODE,ZENER,3V3,0.225W,NXP,MMBZ5226BLT1,SOT23</v>
      </c>
      <c r="C5" s="9" t="s">
        <v>704</v>
      </c>
      <c r="D5" s="9" t="s">
        <v>684</v>
      </c>
      <c r="E5" s="9" t="s">
        <v>693</v>
      </c>
      <c r="F5" s="9" t="s">
        <v>15</v>
      </c>
      <c r="G5" s="9" t="s">
        <v>708</v>
      </c>
      <c r="H5" s="9" t="s">
        <v>699</v>
      </c>
      <c r="I5" s="9" t="s">
        <v>705</v>
      </c>
      <c r="J5" s="9" t="s">
        <v>693</v>
      </c>
      <c r="K5" s="9" t="s">
        <v>706</v>
      </c>
      <c r="L5" s="9" t="s">
        <v>707</v>
      </c>
      <c r="M5" s="9" t="s">
        <v>269</v>
      </c>
      <c r="N5" s="9" t="s">
        <v>15</v>
      </c>
      <c r="O5" s="9" t="s">
        <v>709</v>
      </c>
    </row>
    <row r="6" spans="1:19" x14ac:dyDescent="0.25">
      <c r="A6" s="8">
        <v>5</v>
      </c>
      <c r="B6" s="9" t="str">
        <f t="shared" si="0"/>
        <v>DIODE,SCHOTTKY ARRAY CC,30V,0.2A,VISHAY,BAT54C,SOT23</v>
      </c>
      <c r="C6" s="9" t="s">
        <v>710</v>
      </c>
      <c r="D6" s="9" t="s">
        <v>684</v>
      </c>
      <c r="E6" s="9" t="s">
        <v>693</v>
      </c>
      <c r="F6" s="9" t="s">
        <v>15</v>
      </c>
      <c r="G6" s="9" t="s">
        <v>715</v>
      </c>
      <c r="H6" s="9" t="s">
        <v>176</v>
      </c>
      <c r="I6" s="9" t="s">
        <v>711</v>
      </c>
      <c r="J6" s="9" t="s">
        <v>693</v>
      </c>
      <c r="K6" s="9" t="s">
        <v>712</v>
      </c>
      <c r="L6" s="9" t="s">
        <v>713</v>
      </c>
      <c r="M6" s="9" t="s">
        <v>714</v>
      </c>
      <c r="N6" s="9" t="s">
        <v>15</v>
      </c>
      <c r="O6" s="9" t="s">
        <v>15</v>
      </c>
    </row>
    <row r="7" spans="1:19" x14ac:dyDescent="0.25">
      <c r="A7" s="8">
        <v>6</v>
      </c>
      <c r="B7" s="9" t="str">
        <f t="shared" si="0"/>
        <v>DIODE,SCHOTTKY,40V,2.1A,VISHAY,10MQ04,SMA</v>
      </c>
      <c r="C7" s="9" t="s">
        <v>716</v>
      </c>
      <c r="D7" s="9" t="s">
        <v>684</v>
      </c>
      <c r="E7" s="9" t="s">
        <v>717</v>
      </c>
      <c r="F7" s="9" t="s">
        <v>15</v>
      </c>
      <c r="G7" s="9" t="s">
        <v>722</v>
      </c>
      <c r="H7" s="9" t="s">
        <v>176</v>
      </c>
      <c r="I7" s="9" t="s">
        <v>718</v>
      </c>
      <c r="J7" s="9" t="s">
        <v>717</v>
      </c>
      <c r="K7" s="9" t="s">
        <v>719</v>
      </c>
      <c r="L7" s="9" t="s">
        <v>720</v>
      </c>
      <c r="M7" s="9" t="s">
        <v>721</v>
      </c>
      <c r="N7" s="9" t="s">
        <v>15</v>
      </c>
      <c r="O7" s="9" t="s">
        <v>15</v>
      </c>
    </row>
    <row r="8" spans="1:19" x14ac:dyDescent="0.25">
      <c r="A8" s="8">
        <v>7</v>
      </c>
      <c r="B8" s="9" t="str">
        <f t="shared" si="0"/>
        <v>DIODE,SCHOTTKY,40V,0.5A,DIODES INC,ZHCS500,SOT23</v>
      </c>
      <c r="C8" s="9" t="s">
        <v>723</v>
      </c>
      <c r="D8" s="9" t="s">
        <v>684</v>
      </c>
      <c r="E8" s="9" t="s">
        <v>693</v>
      </c>
      <c r="F8" s="9" t="s">
        <v>15</v>
      </c>
      <c r="G8" s="9" t="s">
        <v>722</v>
      </c>
      <c r="H8" s="9" t="s">
        <v>724</v>
      </c>
      <c r="I8" s="9" t="s">
        <v>725</v>
      </c>
      <c r="J8" s="9" t="s">
        <v>693</v>
      </c>
      <c r="K8" s="9" t="s">
        <v>726</v>
      </c>
      <c r="L8" s="9" t="s">
        <v>689</v>
      </c>
      <c r="M8" s="9" t="s">
        <v>721</v>
      </c>
      <c r="N8" s="9" t="s">
        <v>15</v>
      </c>
      <c r="O8" s="9" t="s">
        <v>15</v>
      </c>
    </row>
    <row r="9" spans="1:19" x14ac:dyDescent="0.25">
      <c r="A9" s="8">
        <v>8</v>
      </c>
      <c r="B9" s="9" t="str">
        <f t="shared" si="0"/>
        <v>DIODE,ARRAY SERIES,75V,0.15A,NXP,BAV99,SOT23</v>
      </c>
      <c r="C9" s="9" t="s">
        <v>727</v>
      </c>
      <c r="D9" s="9" t="s">
        <v>684</v>
      </c>
      <c r="E9" s="9" t="s">
        <v>693</v>
      </c>
      <c r="F9" s="9" t="s">
        <v>15</v>
      </c>
      <c r="G9" s="9" t="s">
        <v>731</v>
      </c>
      <c r="H9" s="9" t="s">
        <v>699</v>
      </c>
      <c r="I9" s="9" t="s">
        <v>728</v>
      </c>
      <c r="J9" s="9" t="s">
        <v>693</v>
      </c>
      <c r="K9" s="9" t="s">
        <v>729</v>
      </c>
      <c r="L9" s="9" t="s">
        <v>730</v>
      </c>
      <c r="M9" s="9" t="s">
        <v>697</v>
      </c>
      <c r="N9" s="9" t="s">
        <v>15</v>
      </c>
      <c r="O9" s="9" t="s">
        <v>15</v>
      </c>
    </row>
    <row r="10" spans="1:19" x14ac:dyDescent="0.25">
      <c r="A10" s="8">
        <v>9</v>
      </c>
      <c r="B10" s="9" t="str">
        <f t="shared" si="0"/>
        <v>DIODE,SCHOTTKY,40V,4A,ONSEMI,MBRS340,SMC</v>
      </c>
      <c r="C10" s="9" t="s">
        <v>732</v>
      </c>
      <c r="D10" s="9" t="s">
        <v>684</v>
      </c>
      <c r="E10" s="9" t="s">
        <v>733</v>
      </c>
      <c r="F10" s="9" t="s">
        <v>15</v>
      </c>
      <c r="G10" s="9" t="s">
        <v>722</v>
      </c>
      <c r="H10" s="9" t="s">
        <v>685</v>
      </c>
      <c r="I10" s="9" t="s">
        <v>734</v>
      </c>
      <c r="J10" s="9" t="s">
        <v>733</v>
      </c>
      <c r="K10" s="9" t="s">
        <v>735</v>
      </c>
      <c r="L10" s="9" t="s">
        <v>736</v>
      </c>
      <c r="M10" s="9" t="s">
        <v>721</v>
      </c>
      <c r="N10" s="9" t="s">
        <v>15</v>
      </c>
      <c r="O10" s="9" t="s">
        <v>15</v>
      </c>
    </row>
    <row r="11" spans="1:19" x14ac:dyDescent="0.25">
      <c r="A11" s="8">
        <v>10</v>
      </c>
      <c r="B11" s="9" t="str">
        <f t="shared" si="0"/>
        <v>DIODE,GENERAL PURPOSE,75V,0.3A,NXP,1N4148,SOT23</v>
      </c>
      <c r="C11" s="9" t="s">
        <v>692</v>
      </c>
      <c r="D11" s="9" t="s">
        <v>684</v>
      </c>
      <c r="E11" s="9" t="s">
        <v>693</v>
      </c>
      <c r="F11" s="9" t="s">
        <v>15</v>
      </c>
      <c r="G11" s="9" t="s">
        <v>739</v>
      </c>
      <c r="H11" s="9" t="s">
        <v>699</v>
      </c>
      <c r="I11" s="9" t="s">
        <v>737</v>
      </c>
      <c r="J11" s="9" t="s">
        <v>693</v>
      </c>
      <c r="K11" s="9" t="s">
        <v>738</v>
      </c>
      <c r="L11" s="9" t="s">
        <v>696</v>
      </c>
      <c r="M11" s="9" t="s">
        <v>697</v>
      </c>
      <c r="N11" s="9" t="s">
        <v>15</v>
      </c>
      <c r="O11" s="9" t="s">
        <v>15</v>
      </c>
    </row>
    <row r="12" spans="1:19" x14ac:dyDescent="0.25">
      <c r="A12" s="8">
        <v>11</v>
      </c>
      <c r="B12" s="9" t="str">
        <f t="shared" si="0"/>
        <v>DIODE,SCHOTTKY,100V,0.15A,NXP,BAT46,SOT23</v>
      </c>
      <c r="C12" s="9" t="s">
        <v>723</v>
      </c>
      <c r="D12" s="9" t="s">
        <v>684</v>
      </c>
      <c r="E12" s="9" t="s">
        <v>693</v>
      </c>
      <c r="F12" s="9" t="s">
        <v>15</v>
      </c>
      <c r="G12" s="9" t="s">
        <v>722</v>
      </c>
      <c r="H12" s="9" t="s">
        <v>699</v>
      </c>
      <c r="I12" s="9" t="s">
        <v>740</v>
      </c>
      <c r="J12" s="9" t="s">
        <v>693</v>
      </c>
      <c r="K12" s="9" t="s">
        <v>741</v>
      </c>
      <c r="L12" s="9" t="s">
        <v>730</v>
      </c>
      <c r="M12" s="9" t="s">
        <v>198</v>
      </c>
      <c r="N12" s="9" t="s">
        <v>15</v>
      </c>
      <c r="O12" s="9" t="s">
        <v>15</v>
      </c>
    </row>
    <row r="13" spans="1:19" x14ac:dyDescent="0.25">
      <c r="A13" s="8">
        <v>12</v>
      </c>
      <c r="B13" s="9" t="str">
        <f t="shared" si="0"/>
        <v>DIODE,SCHOTTKY,40V,0.75A,DIODES INC,ZHCS750,SOT23</v>
      </c>
      <c r="C13" s="9" t="s">
        <v>723</v>
      </c>
      <c r="D13" s="9" t="s">
        <v>684</v>
      </c>
      <c r="E13" s="9" t="s">
        <v>693</v>
      </c>
      <c r="F13" s="9" t="s">
        <v>15</v>
      </c>
      <c r="G13" s="9" t="s">
        <v>722</v>
      </c>
      <c r="H13" s="9" t="s">
        <v>724</v>
      </c>
      <c r="I13" s="9" t="s">
        <v>742</v>
      </c>
      <c r="J13" s="9" t="s">
        <v>693</v>
      </c>
      <c r="K13" s="9" t="s">
        <v>743</v>
      </c>
      <c r="L13" s="9" t="s">
        <v>744</v>
      </c>
      <c r="M13" s="9" t="s">
        <v>721</v>
      </c>
      <c r="N13" s="9" t="s">
        <v>15</v>
      </c>
      <c r="O13" s="9" t="s">
        <v>15</v>
      </c>
    </row>
    <row r="14" spans="1:19" x14ac:dyDescent="0.25">
      <c r="A14" s="8">
        <v>13</v>
      </c>
      <c r="B14" s="9" t="str">
        <f t="shared" si="0"/>
        <v>DIODE,BRIDGE,100V,0.8A,DIODES INC,HD01,SO4</v>
      </c>
      <c r="C14" s="9" t="s">
        <v>683</v>
      </c>
      <c r="D14" s="9" t="s">
        <v>684</v>
      </c>
      <c r="E14" s="9" t="s">
        <v>745</v>
      </c>
      <c r="F14" s="9" t="s">
        <v>15</v>
      </c>
      <c r="G14" s="9" t="s">
        <v>691</v>
      </c>
      <c r="H14" s="9" t="s">
        <v>724</v>
      </c>
      <c r="I14" s="9" t="s">
        <v>745</v>
      </c>
      <c r="J14" s="9" t="s">
        <v>687</v>
      </c>
      <c r="K14" s="9" t="s">
        <v>746</v>
      </c>
      <c r="L14" s="9" t="s">
        <v>747</v>
      </c>
      <c r="M14" s="9" t="s">
        <v>198</v>
      </c>
      <c r="N14" s="9" t="s">
        <v>15</v>
      </c>
      <c r="O14" s="9" t="s">
        <v>15</v>
      </c>
    </row>
    <row r="15" spans="1:19" x14ac:dyDescent="0.25">
      <c r="A15" s="8">
        <v>14</v>
      </c>
      <c r="B15" s="9" t="str">
        <f t="shared" si="0"/>
        <v>DIODE,SCHOTTKY,70V,0.07A,NXP,BAS70,SOT23</v>
      </c>
      <c r="C15" s="9" t="s">
        <v>723</v>
      </c>
      <c r="D15" s="9" t="s">
        <v>684</v>
      </c>
      <c r="E15" s="9" t="s">
        <v>693</v>
      </c>
      <c r="F15" s="9" t="s">
        <v>15</v>
      </c>
      <c r="G15" s="9" t="s">
        <v>722</v>
      </c>
      <c r="H15" s="9" t="s">
        <v>699</v>
      </c>
      <c r="I15" s="9" t="s">
        <v>748</v>
      </c>
      <c r="J15" s="9" t="s">
        <v>693</v>
      </c>
      <c r="K15" s="9" t="s">
        <v>749</v>
      </c>
      <c r="L15" s="9" t="s">
        <v>750</v>
      </c>
      <c r="M15" s="9" t="s">
        <v>751</v>
      </c>
      <c r="N15" s="9" t="s">
        <v>15</v>
      </c>
      <c r="O15" s="9" t="s">
        <v>15</v>
      </c>
    </row>
    <row r="16" spans="1:19" x14ac:dyDescent="0.25">
      <c r="A16" s="8">
        <v>15</v>
      </c>
      <c r="B16" s="9" t="str">
        <f t="shared" si="0"/>
        <v>DIODE,SCHOTTKY,30V,0.2A,NXP,BAT54,SOT23</v>
      </c>
      <c r="C16" s="9" t="s">
        <v>723</v>
      </c>
      <c r="D16" s="9" t="s">
        <v>684</v>
      </c>
      <c r="E16" s="9" t="s">
        <v>693</v>
      </c>
      <c r="F16" s="9" t="s">
        <v>15</v>
      </c>
      <c r="G16" s="9" t="s">
        <v>722</v>
      </c>
      <c r="H16" s="9" t="s">
        <v>699</v>
      </c>
      <c r="I16" s="9" t="s">
        <v>752</v>
      </c>
      <c r="J16" s="9" t="s">
        <v>693</v>
      </c>
      <c r="K16" s="9" t="s">
        <v>753</v>
      </c>
      <c r="L16" s="9" t="s">
        <v>713</v>
      </c>
      <c r="M16" s="9" t="s">
        <v>714</v>
      </c>
      <c r="N16" s="9" t="s">
        <v>15</v>
      </c>
      <c r="O16" s="9" t="s">
        <v>15</v>
      </c>
    </row>
    <row r="17" spans="1:16" x14ac:dyDescent="0.25">
      <c r="A17" s="8">
        <v>16</v>
      </c>
      <c r="B17" s="9" t="str">
        <f t="shared" si="0"/>
        <v>DIODE,ULTRA FAST,400V,1A,ONSEMI,MURS140,SMB</v>
      </c>
      <c r="C17" s="9" t="s">
        <v>732</v>
      </c>
      <c r="D17" s="9" t="s">
        <v>684</v>
      </c>
      <c r="E17" s="9" t="s">
        <v>754</v>
      </c>
      <c r="F17" s="9" t="s">
        <v>15</v>
      </c>
      <c r="G17" s="9" t="s">
        <v>759</v>
      </c>
      <c r="H17" s="9" t="s">
        <v>685</v>
      </c>
      <c r="I17" s="9" t="s">
        <v>755</v>
      </c>
      <c r="J17" s="9" t="s">
        <v>754</v>
      </c>
      <c r="K17" s="9" t="s">
        <v>756</v>
      </c>
      <c r="L17" s="9" t="s">
        <v>757</v>
      </c>
      <c r="M17" s="9" t="s">
        <v>758</v>
      </c>
      <c r="N17" s="9" t="s">
        <v>15</v>
      </c>
      <c r="O17" s="9" t="s">
        <v>15</v>
      </c>
    </row>
    <row r="18" spans="1:16" x14ac:dyDescent="0.25">
      <c r="A18" s="8">
        <v>17</v>
      </c>
      <c r="B18" s="9" t="str">
        <f t="shared" si="0"/>
        <v>DIODE,GENERAL PURPOSE,100V,1A,ONSEMI,DL4002,MELF</v>
      </c>
      <c r="C18" s="9" t="s">
        <v>732</v>
      </c>
      <c r="D18" s="9" t="s">
        <v>684</v>
      </c>
      <c r="E18" s="9" t="s">
        <v>15</v>
      </c>
      <c r="F18" s="9" t="s">
        <v>15</v>
      </c>
      <c r="G18" s="9" t="s">
        <v>739</v>
      </c>
      <c r="H18" s="9" t="s">
        <v>685</v>
      </c>
      <c r="I18" s="9" t="s">
        <v>760</v>
      </c>
      <c r="J18" s="9" t="s">
        <v>761</v>
      </c>
      <c r="K18" s="9" t="s">
        <v>762</v>
      </c>
      <c r="L18" s="9" t="s">
        <v>757</v>
      </c>
      <c r="M18" s="9" t="s">
        <v>198</v>
      </c>
      <c r="N18" s="9" t="s">
        <v>15</v>
      </c>
      <c r="O18" s="9" t="s">
        <v>15</v>
      </c>
    </row>
    <row r="19" spans="1:16" x14ac:dyDescent="0.25">
      <c r="A19" s="8">
        <v>18</v>
      </c>
      <c r="B19" s="9" t="str">
        <f t="shared" si="0"/>
        <v>DIODE,GENERAL PURPOSE,100V,0.2A,FAIRCHILD,1N914ATRA,DO35</v>
      </c>
      <c r="C19" s="9" t="s">
        <v>732</v>
      </c>
      <c r="D19" s="9" t="s">
        <v>684</v>
      </c>
      <c r="E19" s="9" t="s">
        <v>763</v>
      </c>
      <c r="F19" s="9" t="s">
        <v>15</v>
      </c>
      <c r="G19" s="9" t="s">
        <v>739</v>
      </c>
      <c r="H19" s="9" t="s">
        <v>764</v>
      </c>
      <c r="I19" s="9" t="s">
        <v>765</v>
      </c>
      <c r="J19" s="9" t="s">
        <v>763</v>
      </c>
      <c r="K19" s="9" t="s">
        <v>15</v>
      </c>
      <c r="L19" s="9" t="s">
        <v>713</v>
      </c>
      <c r="M19" s="9" t="s">
        <v>198</v>
      </c>
      <c r="N19" s="9" t="s">
        <v>15</v>
      </c>
      <c r="O19" s="9" t="s">
        <v>15</v>
      </c>
      <c r="P19" s="9" t="s">
        <v>766</v>
      </c>
    </row>
    <row r="20" spans="1:16" x14ac:dyDescent="0.25">
      <c r="A20" s="8">
        <v>19</v>
      </c>
      <c r="B20" s="9" t="str">
        <f t="shared" si="0"/>
        <v>DIODE,GENERAL PURPOSE,100V,0.075A,FAIRCHILD,1N914TR,DO35</v>
      </c>
      <c r="C20" s="9" t="s">
        <v>732</v>
      </c>
      <c r="D20" s="9" t="s">
        <v>684</v>
      </c>
      <c r="E20" s="9" t="s">
        <v>763</v>
      </c>
      <c r="F20" s="9" t="s">
        <v>15</v>
      </c>
      <c r="G20" s="9" t="s">
        <v>739</v>
      </c>
      <c r="H20" s="9" t="s">
        <v>764</v>
      </c>
      <c r="I20" s="9" t="s">
        <v>767</v>
      </c>
      <c r="J20" s="9" t="s">
        <v>763</v>
      </c>
      <c r="K20" s="9" t="s">
        <v>15</v>
      </c>
      <c r="L20" s="9" t="s">
        <v>768</v>
      </c>
      <c r="M20" s="9" t="s">
        <v>198</v>
      </c>
      <c r="N20" s="9" t="s">
        <v>15</v>
      </c>
      <c r="O20" s="9" t="s">
        <v>15</v>
      </c>
      <c r="P20" s="9" t="s">
        <v>769</v>
      </c>
    </row>
    <row r="21" spans="1:16" x14ac:dyDescent="0.25">
      <c r="A21" s="8">
        <v>20</v>
      </c>
      <c r="B21" s="9" t="str">
        <f t="shared" si="0"/>
        <v>DIODE,GENERAL PURPOSE,100V,0.2A,FAIRCHILD,1N914A,DO35</v>
      </c>
      <c r="C21" s="9" t="s">
        <v>732</v>
      </c>
      <c r="D21" s="9" t="s">
        <v>684</v>
      </c>
      <c r="E21" s="9" t="s">
        <v>763</v>
      </c>
      <c r="F21" s="9" t="s">
        <v>15</v>
      </c>
      <c r="G21" s="9" t="s">
        <v>739</v>
      </c>
      <c r="H21" s="9" t="s">
        <v>764</v>
      </c>
      <c r="I21" s="9" t="s">
        <v>770</v>
      </c>
      <c r="J21" s="9" t="s">
        <v>763</v>
      </c>
      <c r="K21" s="9" t="s">
        <v>15</v>
      </c>
      <c r="L21" s="9" t="s">
        <v>713</v>
      </c>
      <c r="M21" s="9" t="s">
        <v>198</v>
      </c>
      <c r="N21" s="9" t="s">
        <v>15</v>
      </c>
      <c r="O21" s="9" t="s">
        <v>15</v>
      </c>
      <c r="P21" s="9" t="s">
        <v>771</v>
      </c>
    </row>
    <row r="22" spans="1:16" x14ac:dyDescent="0.25">
      <c r="A22" s="8">
        <v>21</v>
      </c>
      <c r="B22" s="9" t="str">
        <f t="shared" si="0"/>
        <v>DIODE,RECTIFIER,600V,1A,VISHAY,GI816,DO15</v>
      </c>
      <c r="C22" s="9" t="s">
        <v>732</v>
      </c>
      <c r="D22" s="9" t="s">
        <v>684</v>
      </c>
      <c r="E22" s="9" t="s">
        <v>772</v>
      </c>
      <c r="F22" s="9" t="s">
        <v>15</v>
      </c>
      <c r="G22" s="9" t="s">
        <v>775</v>
      </c>
      <c r="H22" s="9" t="s">
        <v>176</v>
      </c>
      <c r="I22" s="9" t="s">
        <v>773</v>
      </c>
      <c r="J22" s="9" t="s">
        <v>772</v>
      </c>
      <c r="K22" s="9" t="s">
        <v>15</v>
      </c>
      <c r="L22" s="9" t="s">
        <v>757</v>
      </c>
      <c r="M22" s="9" t="s">
        <v>774</v>
      </c>
      <c r="N22" s="9" t="s">
        <v>15</v>
      </c>
      <c r="O22" s="9" t="s">
        <v>15</v>
      </c>
      <c r="P22" s="9" t="s">
        <v>776</v>
      </c>
    </row>
    <row r="23" spans="1:16" x14ac:dyDescent="0.25">
      <c r="A23" s="8">
        <v>22</v>
      </c>
      <c r="B23" s="9" t="str">
        <f t="shared" si="0"/>
        <v>DIODE,FAST,50V,8A,UNITRODE,UES1401,TO220</v>
      </c>
      <c r="C23" s="9" t="s">
        <v>15</v>
      </c>
      <c r="D23" s="9" t="s">
        <v>15</v>
      </c>
      <c r="E23" s="9" t="s">
        <v>777</v>
      </c>
      <c r="F23" s="9" t="s">
        <v>15</v>
      </c>
      <c r="G23" s="9" t="s">
        <v>782</v>
      </c>
      <c r="H23" s="9" t="s">
        <v>778</v>
      </c>
      <c r="I23" s="9" t="s">
        <v>779</v>
      </c>
      <c r="J23" s="9" t="s">
        <v>780</v>
      </c>
      <c r="K23" s="9" t="s">
        <v>15</v>
      </c>
      <c r="L23" s="9" t="s">
        <v>781</v>
      </c>
      <c r="M23" s="9" t="s">
        <v>59</v>
      </c>
      <c r="N23" s="9" t="s">
        <v>15</v>
      </c>
      <c r="O23" s="9" t="s">
        <v>15</v>
      </c>
      <c r="P23" s="9" t="s">
        <v>783</v>
      </c>
    </row>
    <row r="24" spans="1:16" x14ac:dyDescent="0.25">
      <c r="A24" s="8">
        <v>23</v>
      </c>
      <c r="B24" s="9" t="str">
        <f t="shared" si="0"/>
        <v>DIODE,BRIDGE,1000V,8A,VISHAY,GBU8,SIP4</v>
      </c>
      <c r="C24" s="9" t="s">
        <v>784</v>
      </c>
      <c r="D24" s="9" t="s">
        <v>684</v>
      </c>
      <c r="E24" s="9" t="s">
        <v>785</v>
      </c>
      <c r="F24" s="9" t="s">
        <v>15</v>
      </c>
      <c r="G24" s="9" t="s">
        <v>691</v>
      </c>
      <c r="H24" s="9" t="s">
        <v>176</v>
      </c>
      <c r="I24" s="9" t="s">
        <v>785</v>
      </c>
      <c r="J24" s="9" t="s">
        <v>786</v>
      </c>
      <c r="K24" s="9" t="s">
        <v>15</v>
      </c>
      <c r="L24" s="9" t="s">
        <v>781</v>
      </c>
      <c r="M24" s="9" t="s">
        <v>690</v>
      </c>
      <c r="N24" s="9" t="s">
        <v>15</v>
      </c>
      <c r="O24" s="9" t="s">
        <v>15</v>
      </c>
      <c r="P24" s="9" t="s">
        <v>787</v>
      </c>
    </row>
    <row r="25" spans="1:16" x14ac:dyDescent="0.25">
      <c r="A25" s="8">
        <v>24</v>
      </c>
      <c r="B25" s="9" t="str">
        <f t="shared" si="0"/>
        <v>DIODE,ARRAY SERIES,80V,0.3A,KEC,KDS226,SOT23</v>
      </c>
      <c r="C25" s="9" t="s">
        <v>15</v>
      </c>
      <c r="D25" s="9" t="s">
        <v>15</v>
      </c>
      <c r="E25" s="9" t="s">
        <v>693</v>
      </c>
      <c r="F25" s="9" t="s">
        <v>15</v>
      </c>
      <c r="G25" s="9" t="s">
        <v>731</v>
      </c>
      <c r="H25" s="9" t="s">
        <v>788</v>
      </c>
      <c r="I25" s="9" t="s">
        <v>789</v>
      </c>
      <c r="J25" s="9" t="s">
        <v>693</v>
      </c>
      <c r="K25" s="9" t="s">
        <v>790</v>
      </c>
      <c r="L25" s="9" t="s">
        <v>696</v>
      </c>
      <c r="M25" s="9" t="s">
        <v>791</v>
      </c>
      <c r="N25" s="9" t="s">
        <v>15</v>
      </c>
      <c r="O25" s="9" t="s">
        <v>15</v>
      </c>
    </row>
    <row r="26" spans="1:16" x14ac:dyDescent="0.25">
      <c r="A26" s="8">
        <v>25</v>
      </c>
      <c r="B26" s="9" t="str">
        <f t="shared" si="0"/>
        <v>DIODE,ARRAY SERIES,200V,0.2A,ONSEMI,MMBD1403,SOT23</v>
      </c>
      <c r="C26" s="9" t="s">
        <v>15</v>
      </c>
      <c r="D26" s="9" t="s">
        <v>15</v>
      </c>
      <c r="E26" s="9" t="s">
        <v>693</v>
      </c>
      <c r="F26" s="9" t="s">
        <v>15</v>
      </c>
      <c r="G26" s="9" t="s">
        <v>731</v>
      </c>
      <c r="H26" s="9" t="s">
        <v>685</v>
      </c>
      <c r="I26" s="9" t="s">
        <v>792</v>
      </c>
      <c r="J26" s="9" t="s">
        <v>693</v>
      </c>
      <c r="K26" s="9" t="s">
        <v>793</v>
      </c>
      <c r="L26" s="9" t="s">
        <v>713</v>
      </c>
      <c r="M26" s="9" t="s">
        <v>794</v>
      </c>
      <c r="N26" s="9" t="s">
        <v>15</v>
      </c>
      <c r="O26" s="9" t="s">
        <v>15</v>
      </c>
    </row>
    <row r="27" spans="1:16" x14ac:dyDescent="0.25">
      <c r="A27" s="8">
        <v>26</v>
      </c>
      <c r="B27" s="9" t="str">
        <f t="shared" si="0"/>
        <v>DIODE,ZENER,8V2,0.5W,VISHAY,TZMC8V2,6508 MELF</v>
      </c>
      <c r="C27" s="9" t="s">
        <v>15</v>
      </c>
      <c r="D27" s="9" t="s">
        <v>15</v>
      </c>
      <c r="E27" s="9" t="s">
        <v>795</v>
      </c>
      <c r="F27" s="9" t="s">
        <v>15</v>
      </c>
      <c r="G27" s="9" t="s">
        <v>708</v>
      </c>
      <c r="H27" s="9" t="s">
        <v>176</v>
      </c>
      <c r="I27" s="9" t="s">
        <v>796</v>
      </c>
      <c r="J27" s="9" t="s">
        <v>797</v>
      </c>
      <c r="K27" s="9" t="s">
        <v>798</v>
      </c>
      <c r="L27" s="9" t="s">
        <v>799</v>
      </c>
      <c r="M27" s="9" t="s">
        <v>800</v>
      </c>
      <c r="N27" s="9" t="s">
        <v>15</v>
      </c>
      <c r="O27" s="9" t="s">
        <v>15</v>
      </c>
    </row>
    <row r="28" spans="1:16" x14ac:dyDescent="0.25">
      <c r="A28" s="8">
        <v>27</v>
      </c>
      <c r="B28" s="9" t="str">
        <f t="shared" si="0"/>
        <v>DIODE,ZENER,3V6,0.5W,ONSEMI,MMSZ3V6T1,SOD123</v>
      </c>
      <c r="C28" s="9" t="s">
        <v>15</v>
      </c>
      <c r="D28" s="9" t="s">
        <v>15</v>
      </c>
      <c r="E28" s="9" t="s">
        <v>801</v>
      </c>
      <c r="F28" s="9" t="s">
        <v>15</v>
      </c>
      <c r="G28" s="9" t="s">
        <v>708</v>
      </c>
      <c r="H28" s="9" t="s">
        <v>685</v>
      </c>
      <c r="I28" s="9" t="s">
        <v>802</v>
      </c>
      <c r="J28" s="9" t="s">
        <v>801</v>
      </c>
      <c r="K28" s="9" t="s">
        <v>803</v>
      </c>
      <c r="L28" s="9" t="s">
        <v>799</v>
      </c>
      <c r="M28" s="9" t="s">
        <v>804</v>
      </c>
      <c r="N28" s="9" t="s">
        <v>15</v>
      </c>
      <c r="O28" s="9" t="s">
        <v>15</v>
      </c>
    </row>
    <row r="29" spans="1:16" x14ac:dyDescent="0.25">
      <c r="A29" s="8">
        <v>28</v>
      </c>
      <c r="B29" s="9" t="str">
        <f t="shared" si="0"/>
        <v>DIODE,SCHOTTKY,40V,1A,ONSEMI,SS14,SMA</v>
      </c>
      <c r="C29" s="9" t="s">
        <v>15</v>
      </c>
      <c r="D29" s="9" t="s">
        <v>15</v>
      </c>
      <c r="E29" s="9" t="s">
        <v>717</v>
      </c>
      <c r="F29" s="9" t="s">
        <v>15</v>
      </c>
      <c r="G29" s="9" t="s">
        <v>722</v>
      </c>
      <c r="H29" s="9" t="s">
        <v>685</v>
      </c>
      <c r="I29" s="9" t="s">
        <v>805</v>
      </c>
      <c r="J29" s="9" t="s">
        <v>717</v>
      </c>
      <c r="K29" s="9" t="s">
        <v>806</v>
      </c>
      <c r="L29" s="9" t="s">
        <v>757</v>
      </c>
      <c r="M29" s="9" t="s">
        <v>721</v>
      </c>
      <c r="N29" s="9" t="s">
        <v>15</v>
      </c>
      <c r="O29" s="9" t="s">
        <v>15</v>
      </c>
    </row>
    <row r="30" spans="1:16" x14ac:dyDescent="0.25">
      <c r="A30" s="8">
        <v>29</v>
      </c>
      <c r="B30" s="9" t="str">
        <f t="shared" si="0"/>
        <v>DIODE,GENERAL PURPOSE,600V,1A,ST,STTH1L06A,SMA</v>
      </c>
      <c r="C30" s="9" t="s">
        <v>15</v>
      </c>
      <c r="D30" s="9" t="s">
        <v>15</v>
      </c>
      <c r="E30" s="9" t="s">
        <v>717</v>
      </c>
      <c r="F30" s="9" t="s">
        <v>15</v>
      </c>
      <c r="G30" s="9" t="s">
        <v>739</v>
      </c>
      <c r="H30" s="9" t="s">
        <v>807</v>
      </c>
      <c r="I30" s="9" t="s">
        <v>808</v>
      </c>
      <c r="J30" s="9" t="s">
        <v>717</v>
      </c>
      <c r="K30" s="9" t="s">
        <v>809</v>
      </c>
      <c r="L30" s="9" t="s">
        <v>757</v>
      </c>
      <c r="M30" s="9" t="s">
        <v>774</v>
      </c>
      <c r="N30" s="9" t="s">
        <v>15</v>
      </c>
      <c r="O30" s="9" t="s">
        <v>15</v>
      </c>
    </row>
    <row r="31" spans="1:16" x14ac:dyDescent="0.25">
      <c r="A31" s="8">
        <v>30</v>
      </c>
      <c r="B31" s="9" t="str">
        <f t="shared" si="0"/>
        <v>DIODE,ZENER,5V1,0.5W,NXP,BZX55C5V1,DO35</v>
      </c>
      <c r="C31" s="9" t="s">
        <v>15</v>
      </c>
      <c r="D31" s="9" t="s">
        <v>15</v>
      </c>
      <c r="E31" s="9" t="s">
        <v>763</v>
      </c>
      <c r="F31" s="9" t="s">
        <v>15</v>
      </c>
      <c r="G31" s="9" t="s">
        <v>708</v>
      </c>
      <c r="H31" s="9" t="s">
        <v>699</v>
      </c>
      <c r="I31" s="9" t="s">
        <v>810</v>
      </c>
      <c r="J31" s="9" t="s">
        <v>763</v>
      </c>
      <c r="K31" s="9" t="s">
        <v>811</v>
      </c>
      <c r="L31" s="9" t="s">
        <v>799</v>
      </c>
      <c r="M31" s="9" t="s">
        <v>812</v>
      </c>
      <c r="N31" s="9" t="s">
        <v>15</v>
      </c>
      <c r="O31" s="9" t="s">
        <v>15</v>
      </c>
    </row>
    <row r="32" spans="1:16" x14ac:dyDescent="0.25">
      <c r="A32" s="8">
        <v>31</v>
      </c>
      <c r="B32" s="9" t="str">
        <f t="shared" si="0"/>
        <v>DIODE,ZENER,5V6,1W,ONSEMI,1N4734,DO41</v>
      </c>
      <c r="C32" s="9" t="s">
        <v>15</v>
      </c>
      <c r="D32" s="9" t="s">
        <v>15</v>
      </c>
      <c r="E32" s="9" t="s">
        <v>763</v>
      </c>
      <c r="F32" s="9" t="s">
        <v>15</v>
      </c>
      <c r="G32" s="9" t="s">
        <v>708</v>
      </c>
      <c r="H32" s="9" t="s">
        <v>685</v>
      </c>
      <c r="I32" s="9" t="s">
        <v>813</v>
      </c>
      <c r="J32" s="9" t="s">
        <v>814</v>
      </c>
      <c r="K32" s="9" t="s">
        <v>815</v>
      </c>
      <c r="L32" s="9" t="s">
        <v>816</v>
      </c>
      <c r="M32" s="9" t="s">
        <v>817</v>
      </c>
      <c r="N32" s="9" t="s">
        <v>15</v>
      </c>
      <c r="O32" s="9" t="s">
        <v>15</v>
      </c>
    </row>
    <row r="33" spans="1:15" x14ac:dyDescent="0.25">
      <c r="A33" s="8">
        <v>32</v>
      </c>
      <c r="B33" s="9" t="str">
        <f t="shared" si="0"/>
        <v>DIODE,ZENER,6V2,1W,ONSEMI,1N4735,DO41</v>
      </c>
      <c r="C33" s="9" t="s">
        <v>15</v>
      </c>
      <c r="D33" s="9" t="s">
        <v>15</v>
      </c>
      <c r="E33" s="9" t="s">
        <v>763</v>
      </c>
      <c r="F33" s="9" t="s">
        <v>15</v>
      </c>
      <c r="G33" s="9" t="s">
        <v>708</v>
      </c>
      <c r="H33" s="9" t="s">
        <v>685</v>
      </c>
      <c r="I33" s="9" t="s">
        <v>818</v>
      </c>
      <c r="J33" s="9" t="s">
        <v>814</v>
      </c>
      <c r="K33" s="9" t="s">
        <v>819</v>
      </c>
      <c r="L33" s="9" t="s">
        <v>816</v>
      </c>
      <c r="M33" s="9" t="s">
        <v>820</v>
      </c>
      <c r="N33" s="9" t="s">
        <v>15</v>
      </c>
      <c r="O33" s="9" t="s">
        <v>15</v>
      </c>
    </row>
    <row r="34" spans="1:15" x14ac:dyDescent="0.25">
      <c r="A34" s="8">
        <v>33</v>
      </c>
      <c r="B34" s="9" t="str">
        <f t="shared" ref="B34:B65" si="1">_xlfn.CONCAT("DIODE,",G34,",",M34,",",L34,",",H34,",",I34,",",J34)</f>
        <v>DIODE,GENERAL PURPOSE,1000V,6A,MICRO COMMERCIAL,6A10,R-6</v>
      </c>
      <c r="C34" s="9" t="s">
        <v>15</v>
      </c>
      <c r="D34" s="9" t="s">
        <v>15</v>
      </c>
      <c r="E34" s="9" t="s">
        <v>821</v>
      </c>
      <c r="F34" s="9" t="s">
        <v>15</v>
      </c>
      <c r="G34" s="9" t="s">
        <v>739</v>
      </c>
      <c r="H34" s="9" t="s">
        <v>822</v>
      </c>
      <c r="I34" s="9" t="s">
        <v>823</v>
      </c>
      <c r="J34" s="9" t="s">
        <v>824</v>
      </c>
      <c r="K34" s="9" t="s">
        <v>15</v>
      </c>
      <c r="L34" s="9" t="s">
        <v>825</v>
      </c>
      <c r="M34" s="9" t="s">
        <v>690</v>
      </c>
      <c r="N34" s="9" t="s">
        <v>15</v>
      </c>
      <c r="O34" s="9" t="s">
        <v>15</v>
      </c>
    </row>
    <row r="35" spans="1:15" x14ac:dyDescent="0.25">
      <c r="A35" s="8">
        <v>34</v>
      </c>
      <c r="B35" s="9" t="str">
        <f t="shared" si="1"/>
        <v>DIODE,SCHOTTKY,200V,1A,ONSEMI,MURS120T3,SMB</v>
      </c>
      <c r="C35" s="9" t="s">
        <v>15</v>
      </c>
      <c r="D35" s="9" t="s">
        <v>15</v>
      </c>
      <c r="E35" s="9" t="s">
        <v>754</v>
      </c>
      <c r="F35" s="9" t="s">
        <v>15</v>
      </c>
      <c r="G35" s="9" t="s">
        <v>722</v>
      </c>
      <c r="H35" s="9" t="s">
        <v>685</v>
      </c>
      <c r="I35" s="9" t="s">
        <v>826</v>
      </c>
      <c r="J35" s="9" t="s">
        <v>754</v>
      </c>
      <c r="K35" s="9" t="s">
        <v>827</v>
      </c>
      <c r="L35" s="9" t="s">
        <v>757</v>
      </c>
      <c r="M35" s="9" t="s">
        <v>794</v>
      </c>
      <c r="N35" s="9" t="s">
        <v>15</v>
      </c>
      <c r="O35" s="9" t="s">
        <v>15</v>
      </c>
    </row>
    <row r="36" spans="1:15" x14ac:dyDescent="0.25">
      <c r="A36" s="8">
        <v>35</v>
      </c>
      <c r="B36" s="9" t="str">
        <f t="shared" si="1"/>
        <v>DIODE,SCHOTTKY,60V,1A,ONSEMI,MURS160,SMB</v>
      </c>
      <c r="C36" s="9" t="s">
        <v>15</v>
      </c>
      <c r="D36" s="9" t="s">
        <v>15</v>
      </c>
      <c r="E36" s="9" t="s">
        <v>15</v>
      </c>
      <c r="F36" s="9" t="s">
        <v>15</v>
      </c>
      <c r="G36" s="9" t="s">
        <v>722</v>
      </c>
      <c r="H36" s="9" t="s">
        <v>685</v>
      </c>
      <c r="I36" s="9" t="s">
        <v>828</v>
      </c>
      <c r="J36" s="9" t="s">
        <v>754</v>
      </c>
      <c r="K36" s="9" t="s">
        <v>829</v>
      </c>
      <c r="L36" s="9" t="s">
        <v>757</v>
      </c>
      <c r="M36" s="9" t="s">
        <v>830</v>
      </c>
      <c r="N36" s="9" t="s">
        <v>15</v>
      </c>
      <c r="O36" s="9" t="s">
        <v>15</v>
      </c>
    </row>
    <row r="37" spans="1:15" x14ac:dyDescent="0.25">
      <c r="A37" s="8">
        <v>36</v>
      </c>
      <c r="B37" s="9" t="str">
        <f t="shared" si="1"/>
        <v>DIODE,TVS,5V3,22A,ST,ESDA5V35SC,SOT23</v>
      </c>
      <c r="C37" s="9" t="s">
        <v>15</v>
      </c>
      <c r="D37" s="9" t="s">
        <v>15</v>
      </c>
      <c r="E37" s="9" t="s">
        <v>15</v>
      </c>
      <c r="F37" s="9" t="s">
        <v>15</v>
      </c>
      <c r="G37" s="9" t="s">
        <v>835</v>
      </c>
      <c r="H37" s="9" t="s">
        <v>807</v>
      </c>
      <c r="I37" s="9" t="s">
        <v>831</v>
      </c>
      <c r="J37" s="9" t="s">
        <v>693</v>
      </c>
      <c r="K37" s="9" t="s">
        <v>832</v>
      </c>
      <c r="L37" s="9" t="s">
        <v>833</v>
      </c>
      <c r="M37" s="9" t="s">
        <v>834</v>
      </c>
      <c r="N37" s="9" t="s">
        <v>15</v>
      </c>
      <c r="O37" s="9" t="s">
        <v>15</v>
      </c>
    </row>
    <row r="38" spans="1:15" x14ac:dyDescent="0.25">
      <c r="A38" s="8">
        <v>37</v>
      </c>
      <c r="B38" s="9" t="str">
        <f t="shared" si="1"/>
        <v>DIODE,SCHOTTKY,40V,0.35A,DIOTEC,SD103AW,SOD123</v>
      </c>
      <c r="C38" s="9" t="s">
        <v>15</v>
      </c>
      <c r="D38" s="9" t="s">
        <v>15</v>
      </c>
      <c r="E38" s="9" t="s">
        <v>15</v>
      </c>
      <c r="F38" s="9" t="s">
        <v>15</v>
      </c>
      <c r="G38" s="9" t="s">
        <v>722</v>
      </c>
      <c r="H38" s="9" t="s">
        <v>836</v>
      </c>
      <c r="I38" s="9" t="s">
        <v>837</v>
      </c>
      <c r="J38" s="9" t="s">
        <v>801</v>
      </c>
      <c r="K38" s="9" t="s">
        <v>838</v>
      </c>
      <c r="L38" s="9" t="s">
        <v>839</v>
      </c>
      <c r="M38" s="9" t="s">
        <v>721</v>
      </c>
      <c r="N38" s="9" t="s">
        <v>15</v>
      </c>
      <c r="O38" s="9" t="s">
        <v>15</v>
      </c>
    </row>
    <row r="39" spans="1:15" x14ac:dyDescent="0.25">
      <c r="A39" s="8">
        <v>38</v>
      </c>
      <c r="B39" s="9" t="str">
        <f t="shared" si="1"/>
        <v>DIODE,SCHOTTKY,40V,3A,COMCHIP,SS34,SMA</v>
      </c>
      <c r="C39" s="9" t="s">
        <v>15</v>
      </c>
      <c r="D39" s="9" t="s">
        <v>15</v>
      </c>
      <c r="E39" s="9" t="s">
        <v>15</v>
      </c>
      <c r="F39" s="9" t="s">
        <v>15</v>
      </c>
      <c r="G39" s="9" t="s">
        <v>722</v>
      </c>
      <c r="H39" s="9" t="s">
        <v>840</v>
      </c>
      <c r="I39" s="9" t="s">
        <v>841</v>
      </c>
      <c r="J39" s="9" t="s">
        <v>717</v>
      </c>
      <c r="K39" s="9" t="s">
        <v>842</v>
      </c>
      <c r="L39" s="9" t="s">
        <v>843</v>
      </c>
      <c r="M39" s="9" t="s">
        <v>721</v>
      </c>
      <c r="N39" s="9" t="s">
        <v>15</v>
      </c>
      <c r="O39" s="9" t="s">
        <v>15</v>
      </c>
    </row>
    <row r="40" spans="1:15" x14ac:dyDescent="0.25">
      <c r="A40" s="8">
        <v>39</v>
      </c>
      <c r="B40" s="9" t="str">
        <f t="shared" si="1"/>
        <v>DIODE,GENERAL PURPOSE,100V,0.2A,ONSEMI,MMBD914,SOT23</v>
      </c>
      <c r="C40" s="9" t="s">
        <v>15</v>
      </c>
      <c r="D40" s="9" t="s">
        <v>15</v>
      </c>
      <c r="E40" s="9" t="s">
        <v>15</v>
      </c>
      <c r="F40" s="9" t="s">
        <v>15</v>
      </c>
      <c r="G40" s="9" t="s">
        <v>739</v>
      </c>
      <c r="H40" s="9" t="s">
        <v>685</v>
      </c>
      <c r="I40" s="9" t="s">
        <v>844</v>
      </c>
      <c r="J40" s="9" t="s">
        <v>693</v>
      </c>
      <c r="K40" s="9" t="s">
        <v>845</v>
      </c>
      <c r="L40" s="9" t="s">
        <v>713</v>
      </c>
      <c r="M40" s="9" t="s">
        <v>198</v>
      </c>
      <c r="N40" s="9" t="s">
        <v>15</v>
      </c>
      <c r="O40" s="9" t="s">
        <v>15</v>
      </c>
    </row>
    <row r="41" spans="1:15" x14ac:dyDescent="0.25">
      <c r="A41" s="8">
        <v>40</v>
      </c>
      <c r="B41" s="9" t="str">
        <f t="shared" si="1"/>
        <v>DIODE,SCHOTTKY,40V,2A,COMCHIP,SS24,SMA</v>
      </c>
      <c r="C41" s="9" t="s">
        <v>15</v>
      </c>
      <c r="D41" s="9" t="s">
        <v>15</v>
      </c>
      <c r="E41" s="9" t="s">
        <v>15</v>
      </c>
      <c r="F41" s="9" t="s">
        <v>15</v>
      </c>
      <c r="G41" s="9" t="s">
        <v>722</v>
      </c>
      <c r="H41" s="9" t="s">
        <v>840</v>
      </c>
      <c r="I41" s="9" t="s">
        <v>846</v>
      </c>
      <c r="J41" s="9" t="s">
        <v>717</v>
      </c>
      <c r="K41" s="9" t="s">
        <v>847</v>
      </c>
      <c r="L41" s="9" t="s">
        <v>848</v>
      </c>
      <c r="M41" s="9" t="s">
        <v>721</v>
      </c>
      <c r="N41" s="9" t="s">
        <v>15</v>
      </c>
      <c r="O41" s="9" t="s">
        <v>15</v>
      </c>
    </row>
    <row r="42" spans="1:15" x14ac:dyDescent="0.25">
      <c r="A42" s="8">
        <v>41</v>
      </c>
      <c r="B42" s="9" t="str">
        <f t="shared" si="1"/>
        <v>DIODE,GENERAL PURPOSE,200V,0.25A,NXP,BAV21,DO35</v>
      </c>
      <c r="C42" s="9" t="s">
        <v>15</v>
      </c>
      <c r="D42" s="9" t="s">
        <v>15</v>
      </c>
      <c r="E42" s="9" t="s">
        <v>15</v>
      </c>
      <c r="F42" s="9" t="s">
        <v>15</v>
      </c>
      <c r="G42" s="9" t="s">
        <v>739</v>
      </c>
      <c r="H42" s="9" t="s">
        <v>699</v>
      </c>
      <c r="I42" s="9" t="s">
        <v>849</v>
      </c>
      <c r="J42" s="9" t="s">
        <v>763</v>
      </c>
      <c r="K42" s="9" t="s">
        <v>850</v>
      </c>
      <c r="L42" s="9" t="s">
        <v>851</v>
      </c>
      <c r="M42" s="9" t="s">
        <v>794</v>
      </c>
      <c r="N42" s="9" t="s">
        <v>15</v>
      </c>
      <c r="O42" s="9" t="s">
        <v>15</v>
      </c>
    </row>
    <row r="43" spans="1:15" x14ac:dyDescent="0.25">
      <c r="A43" s="8">
        <v>42</v>
      </c>
      <c r="B43" s="9" t="str">
        <f t="shared" si="1"/>
        <v>DIODE,GENERAL PURPOSE,75V,0.3A,VISHAY,1N914-CDI,DO35</v>
      </c>
      <c r="C43" s="9" t="s">
        <v>15</v>
      </c>
      <c r="D43" s="9" t="s">
        <v>15</v>
      </c>
      <c r="E43" s="9" t="s">
        <v>15</v>
      </c>
      <c r="F43" s="9" t="s">
        <v>15</v>
      </c>
      <c r="G43" s="9" t="s">
        <v>739</v>
      </c>
      <c r="H43" s="9" t="s">
        <v>176</v>
      </c>
      <c r="I43" s="9" t="s">
        <v>852</v>
      </c>
      <c r="J43" s="9" t="s">
        <v>763</v>
      </c>
      <c r="K43" s="9" t="s">
        <v>853</v>
      </c>
      <c r="L43" s="9" t="s">
        <v>696</v>
      </c>
      <c r="M43" s="9" t="s">
        <v>697</v>
      </c>
      <c r="N43" s="9" t="s">
        <v>15</v>
      </c>
      <c r="O43" s="9" t="s">
        <v>15</v>
      </c>
    </row>
    <row r="44" spans="1:15" x14ac:dyDescent="0.25">
      <c r="A44" s="8">
        <v>43</v>
      </c>
      <c r="B44" s="9" t="str">
        <f t="shared" si="1"/>
        <v>DIODE,GENERAL PURPOSE,200V,1A,ONSEMI,MURS120T3,SMB</v>
      </c>
      <c r="C44" s="9" t="s">
        <v>15</v>
      </c>
      <c r="D44" s="9" t="s">
        <v>15</v>
      </c>
      <c r="E44" s="9" t="s">
        <v>15</v>
      </c>
      <c r="F44" s="9" t="s">
        <v>15</v>
      </c>
      <c r="G44" s="9" t="s">
        <v>739</v>
      </c>
      <c r="H44" s="9" t="s">
        <v>685</v>
      </c>
      <c r="I44" s="9" t="s">
        <v>826</v>
      </c>
      <c r="J44" s="9" t="s">
        <v>754</v>
      </c>
      <c r="K44" s="9" t="s">
        <v>854</v>
      </c>
      <c r="L44" s="9" t="s">
        <v>757</v>
      </c>
      <c r="M44" s="9" t="s">
        <v>794</v>
      </c>
      <c r="N44" s="9" t="s">
        <v>15</v>
      </c>
      <c r="O44" s="9" t="s">
        <v>15</v>
      </c>
    </row>
    <row r="45" spans="1:15" x14ac:dyDescent="0.25">
      <c r="A45" s="8">
        <v>44</v>
      </c>
      <c r="B45" s="9" t="str">
        <f t="shared" si="1"/>
        <v>DIODE,ZENER,5V1,0.2W,ONSEMI,MMBZ5231,SOT23</v>
      </c>
      <c r="C45" s="9" t="s">
        <v>15</v>
      </c>
      <c r="D45" s="9" t="s">
        <v>15</v>
      </c>
      <c r="E45" s="9" t="s">
        <v>15</v>
      </c>
      <c r="F45" s="9" t="s">
        <v>15</v>
      </c>
      <c r="G45" s="9" t="s">
        <v>708</v>
      </c>
      <c r="H45" s="9" t="s">
        <v>685</v>
      </c>
      <c r="I45" s="9" t="s">
        <v>855</v>
      </c>
      <c r="J45" s="9" t="s">
        <v>693</v>
      </c>
      <c r="K45" s="9" t="s">
        <v>15</v>
      </c>
      <c r="L45" s="9" t="s">
        <v>856</v>
      </c>
      <c r="M45" s="9" t="s">
        <v>812</v>
      </c>
      <c r="N45" s="9" t="s">
        <v>15</v>
      </c>
      <c r="O45" s="9" t="s">
        <v>15</v>
      </c>
    </row>
    <row r="46" spans="1:15" x14ac:dyDescent="0.25">
      <c r="A46" s="8">
        <v>45</v>
      </c>
      <c r="B46" s="9" t="str">
        <f t="shared" si="1"/>
        <v>DIODE,,,,,4U3UID,</v>
      </c>
      <c r="C46" s="9" t="s">
        <v>15</v>
      </c>
      <c r="D46" s="9" t="s">
        <v>15</v>
      </c>
      <c r="E46" s="9" t="s">
        <v>15</v>
      </c>
      <c r="F46" s="9" t="s">
        <v>15</v>
      </c>
      <c r="G46" s="9" t="s">
        <v>15</v>
      </c>
      <c r="H46" s="9" t="s">
        <v>15</v>
      </c>
      <c r="I46" s="9" t="s">
        <v>857</v>
      </c>
      <c r="J46" s="9" t="s">
        <v>15</v>
      </c>
      <c r="K46" s="9" t="s">
        <v>858</v>
      </c>
      <c r="L46" s="9" t="s">
        <v>15</v>
      </c>
      <c r="M46" s="9" t="s">
        <v>15</v>
      </c>
      <c r="N46" s="9" t="s">
        <v>15</v>
      </c>
      <c r="O46" s="9" t="s">
        <v>15</v>
      </c>
    </row>
    <row r="47" spans="1:15" x14ac:dyDescent="0.25">
      <c r="A47" s="8">
        <v>46</v>
      </c>
      <c r="B47" s="9" t="str">
        <f t="shared" si="1"/>
        <v>DIODE,ZENER,9V1,1.W,ONSEMI,1N4739,DO41</v>
      </c>
      <c r="C47" s="9" t="s">
        <v>15</v>
      </c>
      <c r="D47" s="9" t="s">
        <v>15</v>
      </c>
      <c r="E47" s="9" t="s">
        <v>15</v>
      </c>
      <c r="F47" s="9" t="s">
        <v>15</v>
      </c>
      <c r="G47" s="9" t="s">
        <v>708</v>
      </c>
      <c r="H47" s="9" t="s">
        <v>685</v>
      </c>
      <c r="I47" s="9" t="s">
        <v>859</v>
      </c>
      <c r="J47" s="9" t="s">
        <v>814</v>
      </c>
      <c r="K47" s="9" t="s">
        <v>860</v>
      </c>
      <c r="L47" s="9" t="s">
        <v>861</v>
      </c>
      <c r="M47" s="9" t="s">
        <v>862</v>
      </c>
      <c r="N47" s="9" t="s">
        <v>15</v>
      </c>
      <c r="O47" s="9" t="s">
        <v>15</v>
      </c>
    </row>
    <row r="48" spans="1:15" x14ac:dyDescent="0.25">
      <c r="A48" s="8">
        <v>47</v>
      </c>
      <c r="B48" s="9" t="str">
        <f t="shared" si="1"/>
        <v>DIODE,RECTIFIER,400V,3A,RECTRON,HER305,DO201</v>
      </c>
      <c r="C48" s="9" t="s">
        <v>15</v>
      </c>
      <c r="D48" s="9" t="s">
        <v>15</v>
      </c>
      <c r="E48" s="9" t="s">
        <v>15</v>
      </c>
      <c r="F48" s="9" t="s">
        <v>15</v>
      </c>
      <c r="G48" s="9" t="s">
        <v>775</v>
      </c>
      <c r="H48" s="9" t="s">
        <v>863</v>
      </c>
      <c r="I48" s="9" t="s">
        <v>864</v>
      </c>
      <c r="J48" s="9" t="s">
        <v>865</v>
      </c>
      <c r="K48" s="9" t="s">
        <v>866</v>
      </c>
      <c r="L48" s="9" t="s">
        <v>843</v>
      </c>
      <c r="M48" s="9" t="s">
        <v>758</v>
      </c>
      <c r="N48" s="9" t="s">
        <v>15</v>
      </c>
      <c r="O48" s="9" t="s">
        <v>15</v>
      </c>
    </row>
    <row r="49" spans="1:15" x14ac:dyDescent="0.25">
      <c r="A49" s="8">
        <v>48</v>
      </c>
      <c r="B49" s="9" t="str">
        <f t="shared" si="1"/>
        <v>DIODE,BRIDGE,800V,6A,MDD,GBU08,GBU08</v>
      </c>
      <c r="C49" s="9" t="s">
        <v>15</v>
      </c>
      <c r="D49" s="9" t="s">
        <v>15</v>
      </c>
      <c r="E49" s="9" t="s">
        <v>15</v>
      </c>
      <c r="F49" s="9" t="s">
        <v>15</v>
      </c>
      <c r="G49" s="9" t="s">
        <v>691</v>
      </c>
      <c r="H49" s="9" t="s">
        <v>867</v>
      </c>
      <c r="I49" s="9" t="s">
        <v>868</v>
      </c>
      <c r="J49" s="9" t="s">
        <v>868</v>
      </c>
      <c r="K49" s="9" t="s">
        <v>869</v>
      </c>
      <c r="L49" s="9" t="s">
        <v>825</v>
      </c>
      <c r="M49" s="9" t="s">
        <v>870</v>
      </c>
      <c r="N49" s="9" t="s">
        <v>15</v>
      </c>
      <c r="O49" s="9" t="s">
        <v>15</v>
      </c>
    </row>
    <row r="50" spans="1:15" x14ac:dyDescent="0.25">
      <c r="A50" s="8">
        <v>49</v>
      </c>
      <c r="B50" s="9" t="str">
        <f t="shared" si="1"/>
        <v>DIODE,BRIDGE,400V,4A,FAIRCHILD,KBL04,KBL04</v>
      </c>
      <c r="C50" s="9" t="s">
        <v>15</v>
      </c>
      <c r="D50" s="9" t="s">
        <v>15</v>
      </c>
      <c r="E50" s="9" t="s">
        <v>15</v>
      </c>
      <c r="F50" s="9" t="s">
        <v>15</v>
      </c>
      <c r="G50" s="9" t="s">
        <v>691</v>
      </c>
      <c r="H50" s="9" t="s">
        <v>764</v>
      </c>
      <c r="I50" s="9" t="s">
        <v>871</v>
      </c>
      <c r="J50" s="9" t="s">
        <v>871</v>
      </c>
      <c r="K50" s="9" t="s">
        <v>872</v>
      </c>
      <c r="L50" s="9" t="s">
        <v>736</v>
      </c>
      <c r="M50" s="9" t="s">
        <v>758</v>
      </c>
      <c r="N50" s="9" t="s">
        <v>15</v>
      </c>
      <c r="O50" s="9" t="s">
        <v>15</v>
      </c>
    </row>
    <row r="51" spans="1:15" x14ac:dyDescent="0.25">
      <c r="A51" s="8">
        <v>50</v>
      </c>
      <c r="B51" s="9" t="str">
        <f t="shared" si="1"/>
        <v>DIODE,BRIDGE,100V,2A,VISHAY,KBP01,KBP01</v>
      </c>
      <c r="C51" s="9" t="s">
        <v>15</v>
      </c>
      <c r="D51" s="9" t="s">
        <v>15</v>
      </c>
      <c r="E51" s="9" t="s">
        <v>15</v>
      </c>
      <c r="F51" s="9" t="s">
        <v>15</v>
      </c>
      <c r="G51" s="9" t="s">
        <v>691</v>
      </c>
      <c r="H51" s="9" t="s">
        <v>176</v>
      </c>
      <c r="I51" s="9" t="s">
        <v>873</v>
      </c>
      <c r="J51" s="9" t="s">
        <v>873</v>
      </c>
      <c r="K51" s="9" t="s">
        <v>874</v>
      </c>
      <c r="L51" s="9" t="s">
        <v>848</v>
      </c>
      <c r="M51" s="9" t="s">
        <v>198</v>
      </c>
      <c r="N51" s="9" t="s">
        <v>15</v>
      </c>
      <c r="O51" s="9" t="s">
        <v>15</v>
      </c>
    </row>
    <row r="52" spans="1:15" x14ac:dyDescent="0.25">
      <c r="A52" s="8">
        <v>51</v>
      </c>
      <c r="B52" s="9" t="str">
        <f t="shared" si="1"/>
        <v>DIODE,BRIDGE,400V,1A,SMC,DB104,DB04</v>
      </c>
      <c r="C52" s="9" t="s">
        <v>15</v>
      </c>
      <c r="D52" s="9" t="s">
        <v>15</v>
      </c>
      <c r="E52" s="9" t="s">
        <v>15</v>
      </c>
      <c r="F52" s="9" t="s">
        <v>15</v>
      </c>
      <c r="G52" s="9" t="s">
        <v>691</v>
      </c>
      <c r="H52" s="9" t="s">
        <v>733</v>
      </c>
      <c r="I52" s="9" t="s">
        <v>875</v>
      </c>
      <c r="J52" s="9" t="s">
        <v>876</v>
      </c>
      <c r="K52" s="9" t="s">
        <v>877</v>
      </c>
      <c r="L52" s="9" t="s">
        <v>757</v>
      </c>
      <c r="M52" s="9" t="s">
        <v>758</v>
      </c>
      <c r="N52" s="9" t="s">
        <v>15</v>
      </c>
      <c r="O52" s="9" t="s">
        <v>15</v>
      </c>
    </row>
    <row r="53" spans="1:15" x14ac:dyDescent="0.25">
      <c r="A53" s="8">
        <v>52</v>
      </c>
      <c r="B53" s="9" t="str">
        <f t="shared" si="1"/>
        <v>DIODE,BRIDGE,400V,1.5A,VISHAY,KBP04,KBP04</v>
      </c>
      <c r="C53" s="9" t="s">
        <v>15</v>
      </c>
      <c r="D53" s="9" t="s">
        <v>15</v>
      </c>
      <c r="E53" s="9" t="s">
        <v>15</v>
      </c>
      <c r="F53" s="9" t="s">
        <v>15</v>
      </c>
      <c r="G53" s="9" t="s">
        <v>691</v>
      </c>
      <c r="H53" s="9" t="s">
        <v>176</v>
      </c>
      <c r="I53" s="9" t="s">
        <v>878</v>
      </c>
      <c r="J53" s="9" t="s">
        <v>878</v>
      </c>
      <c r="K53" s="9" t="s">
        <v>879</v>
      </c>
      <c r="L53" s="9" t="s">
        <v>880</v>
      </c>
      <c r="M53" s="9" t="s">
        <v>758</v>
      </c>
      <c r="N53" s="9" t="s">
        <v>15</v>
      </c>
      <c r="O53" s="9" t="s">
        <v>15</v>
      </c>
    </row>
    <row r="54" spans="1:15" x14ac:dyDescent="0.25">
      <c r="A54" s="8">
        <v>53</v>
      </c>
      <c r="B54" s="9" t="str">
        <f t="shared" si="1"/>
        <v>DIODE,RECTIFIER,100V,1A,ONSEMI,1N4934,DO41</v>
      </c>
      <c r="C54" s="9" t="s">
        <v>15</v>
      </c>
      <c r="D54" s="9" t="s">
        <v>15</v>
      </c>
      <c r="E54" s="9" t="s">
        <v>15</v>
      </c>
      <c r="F54" s="9" t="s">
        <v>15</v>
      </c>
      <c r="G54" s="9" t="s">
        <v>775</v>
      </c>
      <c r="H54" s="9" t="s">
        <v>685</v>
      </c>
      <c r="I54" s="9" t="s">
        <v>881</v>
      </c>
      <c r="J54" s="9" t="s">
        <v>814</v>
      </c>
      <c r="K54" s="9" t="s">
        <v>882</v>
      </c>
      <c r="L54" s="9" t="s">
        <v>757</v>
      </c>
      <c r="M54" s="9" t="s">
        <v>198</v>
      </c>
      <c r="N54" s="9" t="s">
        <v>15</v>
      </c>
      <c r="O54" s="9" t="s">
        <v>15</v>
      </c>
    </row>
    <row r="55" spans="1:15" x14ac:dyDescent="0.25">
      <c r="A55" s="8">
        <v>54</v>
      </c>
      <c r="B55" s="9" t="str">
        <f t="shared" si="1"/>
        <v>DIODE,ZENER,5V1,1.3W,ONSEMI,1N4733,DO41</v>
      </c>
      <c r="C55" s="9" t="s">
        <v>15</v>
      </c>
      <c r="D55" s="9" t="s">
        <v>15</v>
      </c>
      <c r="E55" s="9" t="s">
        <v>15</v>
      </c>
      <c r="F55" s="9" t="s">
        <v>15</v>
      </c>
      <c r="G55" s="9" t="s">
        <v>708</v>
      </c>
      <c r="H55" s="9" t="s">
        <v>685</v>
      </c>
      <c r="I55" s="9" t="s">
        <v>883</v>
      </c>
      <c r="J55" s="9" t="s">
        <v>814</v>
      </c>
      <c r="K55" s="9" t="s">
        <v>884</v>
      </c>
      <c r="L55" s="9" t="s">
        <v>885</v>
      </c>
      <c r="M55" s="9" t="s">
        <v>812</v>
      </c>
      <c r="N55" s="9" t="s">
        <v>15</v>
      </c>
      <c r="O55" s="9" t="s">
        <v>15</v>
      </c>
    </row>
    <row r="56" spans="1:15" x14ac:dyDescent="0.25">
      <c r="A56" s="8">
        <v>55</v>
      </c>
      <c r="B56" s="9" t="str">
        <f t="shared" si="1"/>
        <v>DIODE,RECTIFIER,150V,16A,RECTRON,SF163,TO220</v>
      </c>
      <c r="C56" s="9" t="s">
        <v>15</v>
      </c>
      <c r="D56" s="9" t="s">
        <v>15</v>
      </c>
      <c r="E56" s="9" t="s">
        <v>15</v>
      </c>
      <c r="F56" s="9" t="s">
        <v>15</v>
      </c>
      <c r="G56" s="9" t="s">
        <v>775</v>
      </c>
      <c r="H56" s="9" t="s">
        <v>863</v>
      </c>
      <c r="I56" s="9" t="s">
        <v>886</v>
      </c>
      <c r="J56" s="9" t="s">
        <v>780</v>
      </c>
      <c r="K56" s="9" t="s">
        <v>887</v>
      </c>
      <c r="L56" s="9" t="s">
        <v>888</v>
      </c>
      <c r="M56" s="9" t="s">
        <v>889</v>
      </c>
      <c r="N56" s="9" t="s">
        <v>15</v>
      </c>
      <c r="O56" s="9" t="s">
        <v>15</v>
      </c>
    </row>
    <row r="57" spans="1:15" x14ac:dyDescent="0.25">
      <c r="A57" s="8">
        <v>56</v>
      </c>
      <c r="B57" s="9" t="str">
        <f t="shared" si="1"/>
        <v>DIODE,RECTIFIER,600V,4A,ONSEMI,MUR460,DO201</v>
      </c>
      <c r="C57" s="9" t="s">
        <v>15</v>
      </c>
      <c r="D57" s="9" t="s">
        <v>15</v>
      </c>
      <c r="E57" s="9" t="s">
        <v>15</v>
      </c>
      <c r="F57" s="9" t="s">
        <v>15</v>
      </c>
      <c r="G57" s="9" t="s">
        <v>775</v>
      </c>
      <c r="H57" s="9" t="s">
        <v>685</v>
      </c>
      <c r="I57" s="9" t="s">
        <v>890</v>
      </c>
      <c r="J57" s="9" t="s">
        <v>865</v>
      </c>
      <c r="K57" s="9" t="s">
        <v>891</v>
      </c>
      <c r="L57" s="9" t="s">
        <v>736</v>
      </c>
      <c r="M57" s="9" t="s">
        <v>774</v>
      </c>
      <c r="N57" s="9" t="s">
        <v>15</v>
      </c>
      <c r="O57" s="9" t="s">
        <v>15</v>
      </c>
    </row>
    <row r="58" spans="1:15" x14ac:dyDescent="0.25">
      <c r="A58" s="8">
        <v>57</v>
      </c>
      <c r="B58" s="9" t="str">
        <f t="shared" si="1"/>
        <v>DIODE,SCHOTTKY,40V,3A,ONSEMI,MBR340,DO201</v>
      </c>
      <c r="C58" s="9" t="s">
        <v>15</v>
      </c>
      <c r="D58" s="9" t="s">
        <v>15</v>
      </c>
      <c r="E58" s="9" t="s">
        <v>15</v>
      </c>
      <c r="F58" s="9" t="s">
        <v>15</v>
      </c>
      <c r="G58" s="9" t="s">
        <v>722</v>
      </c>
      <c r="H58" s="9" t="s">
        <v>685</v>
      </c>
      <c r="I58" s="9" t="s">
        <v>892</v>
      </c>
      <c r="J58" s="9" t="s">
        <v>865</v>
      </c>
      <c r="K58" s="9" t="s">
        <v>893</v>
      </c>
      <c r="L58" s="9" t="s">
        <v>843</v>
      </c>
      <c r="M58" s="9" t="s">
        <v>721</v>
      </c>
      <c r="N58" s="9" t="s">
        <v>15</v>
      </c>
      <c r="O58" s="9" t="s">
        <v>15</v>
      </c>
    </row>
    <row r="59" spans="1:15" x14ac:dyDescent="0.25">
      <c r="A59" s="8">
        <v>58</v>
      </c>
      <c r="B59" s="9" t="str">
        <f t="shared" si="1"/>
        <v>DIODE,ULTRAFAST RECTIFIER,200V,8A,MICROSEMI,VHE1404,TO220-2</v>
      </c>
      <c r="C59" s="9" t="s">
        <v>15</v>
      </c>
      <c r="D59" s="9" t="s">
        <v>15</v>
      </c>
      <c r="E59" s="9" t="s">
        <v>15</v>
      </c>
      <c r="F59" s="9" t="s">
        <v>15</v>
      </c>
      <c r="G59" s="9" t="s">
        <v>898</v>
      </c>
      <c r="H59" s="9" t="s">
        <v>894</v>
      </c>
      <c r="I59" s="9" t="s">
        <v>895</v>
      </c>
      <c r="J59" s="9" t="s">
        <v>896</v>
      </c>
      <c r="K59" s="9" t="s">
        <v>897</v>
      </c>
      <c r="L59" s="9" t="s">
        <v>781</v>
      </c>
      <c r="M59" s="9" t="s">
        <v>794</v>
      </c>
      <c r="N59" s="9" t="s">
        <v>15</v>
      </c>
      <c r="O59" s="9" t="s">
        <v>15</v>
      </c>
    </row>
    <row r="60" spans="1:15" x14ac:dyDescent="0.25">
      <c r="A60" s="8">
        <v>59</v>
      </c>
      <c r="B60" s="9" t="str">
        <f t="shared" si="1"/>
        <v>DIODE,RECTIFIER,400V,1A,ONSEMI,1N4004,DO41</v>
      </c>
      <c r="C60" s="9" t="s">
        <v>15</v>
      </c>
      <c r="D60" s="9" t="s">
        <v>15</v>
      </c>
      <c r="E60" s="9" t="s">
        <v>15</v>
      </c>
      <c r="F60" s="9" t="s">
        <v>15</v>
      </c>
      <c r="G60" s="9" t="s">
        <v>775</v>
      </c>
      <c r="H60" s="9" t="s">
        <v>685</v>
      </c>
      <c r="I60" s="9" t="s">
        <v>899</v>
      </c>
      <c r="J60" s="9" t="s">
        <v>814</v>
      </c>
      <c r="K60" s="9" t="s">
        <v>900</v>
      </c>
      <c r="L60" s="9" t="s">
        <v>757</v>
      </c>
      <c r="M60" s="9" t="s">
        <v>758</v>
      </c>
      <c r="N60" s="9" t="s">
        <v>15</v>
      </c>
      <c r="O60" s="9" t="s">
        <v>15</v>
      </c>
    </row>
    <row r="61" spans="1:15" x14ac:dyDescent="0.25">
      <c r="A61" s="8">
        <v>60</v>
      </c>
      <c r="B61" s="9" t="str">
        <f t="shared" si="1"/>
        <v>DIODE,ARRAY CC,45A,20A,FCI,FBR2045,TO220</v>
      </c>
      <c r="C61" s="9" t="s">
        <v>15</v>
      </c>
      <c r="D61" s="9" t="s">
        <v>15</v>
      </c>
      <c r="E61" s="9" t="s">
        <v>15</v>
      </c>
      <c r="F61" s="9" t="s">
        <v>15</v>
      </c>
      <c r="G61" s="9" t="s">
        <v>906</v>
      </c>
      <c r="H61" s="9" t="s">
        <v>901</v>
      </c>
      <c r="I61" s="9" t="s">
        <v>902</v>
      </c>
      <c r="J61" s="9" t="s">
        <v>780</v>
      </c>
      <c r="K61" s="9" t="s">
        <v>903</v>
      </c>
      <c r="L61" s="9" t="s">
        <v>904</v>
      </c>
      <c r="M61" s="9" t="s">
        <v>905</v>
      </c>
      <c r="N61" s="9" t="s">
        <v>15</v>
      </c>
      <c r="O61" s="9" t="s">
        <v>15</v>
      </c>
    </row>
    <row r="62" spans="1:15" x14ac:dyDescent="0.25">
      <c r="A62" s="8">
        <v>61</v>
      </c>
      <c r="B62" s="9" t="str">
        <f t="shared" si="1"/>
        <v>DIODE,GENERAL PURPOSE,100V,3A,DIODES INC,HER302,DO201</v>
      </c>
      <c r="C62" s="9" t="s">
        <v>15</v>
      </c>
      <c r="D62" s="9" t="s">
        <v>15</v>
      </c>
      <c r="E62" s="9" t="s">
        <v>15</v>
      </c>
      <c r="F62" s="9" t="s">
        <v>15</v>
      </c>
      <c r="G62" s="9" t="s">
        <v>739</v>
      </c>
      <c r="H62" s="9" t="s">
        <v>724</v>
      </c>
      <c r="I62" s="9" t="s">
        <v>907</v>
      </c>
      <c r="J62" s="9" t="s">
        <v>865</v>
      </c>
      <c r="K62" s="9" t="s">
        <v>908</v>
      </c>
      <c r="L62" s="9" t="s">
        <v>843</v>
      </c>
      <c r="M62" s="9" t="s">
        <v>198</v>
      </c>
      <c r="N62" s="9" t="s">
        <v>15</v>
      </c>
      <c r="O62" s="9" t="s">
        <v>15</v>
      </c>
    </row>
    <row r="63" spans="1:15" x14ac:dyDescent="0.25">
      <c r="A63" s="8">
        <v>62</v>
      </c>
      <c r="B63" s="9" t="str">
        <f t="shared" si="1"/>
        <v>DIODE,GENERAL PURPOSE, DUAL CC,150V,8A,ONSEMI,MUR1615,TO220</v>
      </c>
      <c r="C63" s="9" t="s">
        <v>15</v>
      </c>
      <c r="D63" s="9" t="s">
        <v>15</v>
      </c>
      <c r="E63" s="9" t="s">
        <v>15</v>
      </c>
      <c r="F63" s="9" t="s">
        <v>15</v>
      </c>
      <c r="G63" s="9" t="s">
        <v>911</v>
      </c>
      <c r="H63" s="9" t="s">
        <v>685</v>
      </c>
      <c r="I63" s="9" t="s">
        <v>909</v>
      </c>
      <c r="J63" s="9" t="s">
        <v>780</v>
      </c>
      <c r="K63" s="9" t="s">
        <v>910</v>
      </c>
      <c r="L63" s="9" t="s">
        <v>781</v>
      </c>
      <c r="M63" s="9" t="s">
        <v>889</v>
      </c>
      <c r="N63" s="9" t="s">
        <v>15</v>
      </c>
      <c r="O63" s="9" t="s">
        <v>15</v>
      </c>
    </row>
    <row r="64" spans="1:15" x14ac:dyDescent="0.25">
      <c r="A64" s="8">
        <v>63</v>
      </c>
      <c r="B64" s="9" t="str">
        <f t="shared" si="1"/>
        <v>DIODE,SCHOTTKY,40V,1A,ONSEMI,1N5819,DO15</v>
      </c>
      <c r="C64" s="9" t="s">
        <v>15</v>
      </c>
      <c r="D64" s="9" t="s">
        <v>15</v>
      </c>
      <c r="E64" s="9" t="s">
        <v>15</v>
      </c>
      <c r="F64" s="9" t="s">
        <v>15</v>
      </c>
      <c r="G64" s="9" t="s">
        <v>722</v>
      </c>
      <c r="H64" s="9" t="s">
        <v>685</v>
      </c>
      <c r="I64" s="9" t="s">
        <v>912</v>
      </c>
      <c r="J64" s="9" t="s">
        <v>772</v>
      </c>
      <c r="K64" s="9" t="s">
        <v>913</v>
      </c>
      <c r="L64" s="9" t="s">
        <v>757</v>
      </c>
      <c r="M64" s="9" t="s">
        <v>721</v>
      </c>
      <c r="N64" s="9" t="s">
        <v>15</v>
      </c>
      <c r="O64" s="9" t="s">
        <v>15</v>
      </c>
    </row>
    <row r="65" spans="1:15" x14ac:dyDescent="0.25">
      <c r="A65" s="8">
        <v>64</v>
      </c>
      <c r="B65" s="9" t="str">
        <f t="shared" si="1"/>
        <v>DIODE,SCHOTTKY,80V,7.5A,ST,STPS15,TO220</v>
      </c>
      <c r="C65" s="9" t="s">
        <v>15</v>
      </c>
      <c r="D65" s="9" t="s">
        <v>15</v>
      </c>
      <c r="E65" s="9" t="s">
        <v>15</v>
      </c>
      <c r="F65" s="9" t="s">
        <v>15</v>
      </c>
      <c r="G65" s="9" t="s">
        <v>722</v>
      </c>
      <c r="H65" s="9" t="s">
        <v>807</v>
      </c>
      <c r="I65" s="9" t="s">
        <v>914</v>
      </c>
      <c r="J65" s="9" t="s">
        <v>780</v>
      </c>
      <c r="K65" s="9" t="s">
        <v>915</v>
      </c>
      <c r="L65" s="9" t="s">
        <v>916</v>
      </c>
      <c r="M65" s="9" t="s">
        <v>791</v>
      </c>
      <c r="N65" s="9" t="s">
        <v>15</v>
      </c>
      <c r="O65" s="9" t="s">
        <v>15</v>
      </c>
    </row>
    <row r="66" spans="1:15" x14ac:dyDescent="0.25">
      <c r="A66" s="8">
        <v>65</v>
      </c>
      <c r="B66" s="9" t="str">
        <f t="shared" ref="B66:B97" si="2">_xlfn.CONCAT("DIODE,",G66,",",M66,",",L66,",",H66,",",I66,",",J66)</f>
        <v>DIODE,GENERAL PURPOSE,600V,1A,ST,STTH1L06,DO41</v>
      </c>
      <c r="C66" s="9" t="s">
        <v>15</v>
      </c>
      <c r="D66" s="9" t="s">
        <v>15</v>
      </c>
      <c r="E66" s="9" t="s">
        <v>15</v>
      </c>
      <c r="F66" s="9" t="s">
        <v>15</v>
      </c>
      <c r="G66" s="9" t="s">
        <v>739</v>
      </c>
      <c r="H66" s="9" t="s">
        <v>807</v>
      </c>
      <c r="I66" s="9" t="s">
        <v>917</v>
      </c>
      <c r="J66" s="9" t="s">
        <v>814</v>
      </c>
      <c r="K66" s="9" t="s">
        <v>918</v>
      </c>
      <c r="L66" s="9" t="s">
        <v>757</v>
      </c>
      <c r="M66" s="9" t="s">
        <v>774</v>
      </c>
      <c r="N66" s="9" t="s">
        <v>15</v>
      </c>
      <c r="O66" s="9" t="s">
        <v>15</v>
      </c>
    </row>
    <row r="67" spans="1:15" x14ac:dyDescent="0.25">
      <c r="A67" s="8">
        <v>66</v>
      </c>
      <c r="B67" s="9" t="str">
        <f t="shared" si="2"/>
        <v>DIODE,TVS,213V,,ST,P6KE250ARL,DO15</v>
      </c>
      <c r="C67" s="9" t="s">
        <v>15</v>
      </c>
      <c r="D67" s="9" t="s">
        <v>15</v>
      </c>
      <c r="E67" s="9" t="s">
        <v>15</v>
      </c>
      <c r="F67" s="9" t="s">
        <v>15</v>
      </c>
      <c r="G67" s="9" t="s">
        <v>835</v>
      </c>
      <c r="H67" s="9" t="s">
        <v>807</v>
      </c>
      <c r="I67" s="9" t="s">
        <v>919</v>
      </c>
      <c r="J67" s="9" t="s">
        <v>772</v>
      </c>
      <c r="K67" s="9" t="s">
        <v>920</v>
      </c>
      <c r="L67" s="9" t="s">
        <v>15</v>
      </c>
      <c r="M67" s="9" t="s">
        <v>921</v>
      </c>
      <c r="N67" s="9" t="s">
        <v>15</v>
      </c>
      <c r="O67" s="9" t="s">
        <v>15</v>
      </c>
    </row>
    <row r="68" spans="1:15" x14ac:dyDescent="0.25">
      <c r="A68" s="8">
        <v>67</v>
      </c>
      <c r="B68" s="9" t="str">
        <f t="shared" si="2"/>
        <v>DIODE,BRIDGE,1000V,2A,MDD,2W10,WOB</v>
      </c>
      <c r="C68" s="9" t="s">
        <v>15</v>
      </c>
      <c r="D68" s="9" t="s">
        <v>15</v>
      </c>
      <c r="E68" s="9" t="s">
        <v>15</v>
      </c>
      <c r="F68" s="9" t="s">
        <v>15</v>
      </c>
      <c r="G68" s="9" t="s">
        <v>691</v>
      </c>
      <c r="H68" s="9" t="s">
        <v>867</v>
      </c>
      <c r="I68" s="9" t="s">
        <v>922</v>
      </c>
      <c r="J68" s="9" t="s">
        <v>923</v>
      </c>
      <c r="K68" s="9" t="s">
        <v>924</v>
      </c>
      <c r="L68" s="9" t="s">
        <v>848</v>
      </c>
      <c r="M68" s="9" t="s">
        <v>690</v>
      </c>
      <c r="N68" s="9" t="s">
        <v>15</v>
      </c>
      <c r="O68" s="9" t="s">
        <v>15</v>
      </c>
    </row>
    <row r="69" spans="1:15" x14ac:dyDescent="0.25">
      <c r="A69" s="8">
        <v>68</v>
      </c>
      <c r="B69" s="9" t="str">
        <f t="shared" si="2"/>
        <v>DIODE,SCHOTTKY,100V,2A,ST,STPS2H100,DO41</v>
      </c>
      <c r="C69" s="9" t="s">
        <v>15</v>
      </c>
      <c r="D69" s="9" t="s">
        <v>15</v>
      </c>
      <c r="E69" s="9" t="s">
        <v>15</v>
      </c>
      <c r="F69" s="9" t="s">
        <v>15</v>
      </c>
      <c r="G69" s="9" t="s">
        <v>722</v>
      </c>
      <c r="H69" s="9" t="s">
        <v>807</v>
      </c>
      <c r="I69" s="9" t="s">
        <v>925</v>
      </c>
      <c r="J69" s="9" t="s">
        <v>814</v>
      </c>
      <c r="K69" s="9" t="s">
        <v>926</v>
      </c>
      <c r="L69" s="9" t="s">
        <v>848</v>
      </c>
      <c r="M69" s="9" t="s">
        <v>198</v>
      </c>
      <c r="N69" s="9" t="s">
        <v>15</v>
      </c>
      <c r="O69" s="9" t="s">
        <v>15</v>
      </c>
    </row>
    <row r="70" spans="1:15" x14ac:dyDescent="0.25">
      <c r="A70" s="8">
        <v>69</v>
      </c>
      <c r="B70" s="9" t="str">
        <f t="shared" si="2"/>
        <v>DIODE,BRIDGE,50V,6A,IR,6GBU06,GBU6</v>
      </c>
      <c r="C70" s="9" t="s">
        <v>15</v>
      </c>
      <c r="D70" s="9" t="s">
        <v>15</v>
      </c>
      <c r="E70" s="9" t="s">
        <v>15</v>
      </c>
      <c r="F70" s="9" t="s">
        <v>15</v>
      </c>
      <c r="G70" s="9" t="s">
        <v>691</v>
      </c>
      <c r="H70" s="9" t="s">
        <v>927</v>
      </c>
      <c r="I70" s="9" t="s">
        <v>928</v>
      </c>
      <c r="J70" s="9" t="s">
        <v>929</v>
      </c>
      <c r="K70" s="9" t="s">
        <v>930</v>
      </c>
      <c r="L70" s="9" t="s">
        <v>825</v>
      </c>
      <c r="M70" s="9" t="s">
        <v>59</v>
      </c>
      <c r="N70" s="9" t="s">
        <v>15</v>
      </c>
      <c r="O70" s="9" t="s">
        <v>15</v>
      </c>
    </row>
    <row r="71" spans="1:15" x14ac:dyDescent="0.25">
      <c r="A71" s="8">
        <v>70</v>
      </c>
      <c r="B71" s="9" t="str">
        <f t="shared" si="2"/>
        <v>DIODE,GENERAL PURPOSE, DUAL CC,60V,3A,VISHAY,MBRD660CTT,DPAK</v>
      </c>
      <c r="C71" s="9" t="s">
        <v>15</v>
      </c>
      <c r="D71" s="9" t="s">
        <v>15</v>
      </c>
      <c r="E71" s="9" t="s">
        <v>15</v>
      </c>
      <c r="F71" s="9" t="s">
        <v>15</v>
      </c>
      <c r="G71" s="9" t="s">
        <v>911</v>
      </c>
      <c r="H71" s="9" t="s">
        <v>176</v>
      </c>
      <c r="I71" s="9" t="s">
        <v>931</v>
      </c>
      <c r="J71" s="9" t="s">
        <v>932</v>
      </c>
      <c r="K71" s="9" t="s">
        <v>933</v>
      </c>
      <c r="L71" s="9" t="s">
        <v>843</v>
      </c>
      <c r="M71" s="9" t="s">
        <v>830</v>
      </c>
      <c r="N71" s="9" t="s">
        <v>15</v>
      </c>
      <c r="O71" s="9" t="s">
        <v>15</v>
      </c>
    </row>
    <row r="72" spans="1:15" x14ac:dyDescent="0.25">
      <c r="A72" s="8">
        <v>71</v>
      </c>
      <c r="B72" s="9" t="str">
        <f t="shared" si="2"/>
        <v>DIODE,SUPER FAST, DUAL CC,400V,10A,TAIWAN SEMI,SFF1006,TO220</v>
      </c>
      <c r="C72" s="9" t="s">
        <v>15</v>
      </c>
      <c r="D72" s="9" t="s">
        <v>15</v>
      </c>
      <c r="E72" s="9" t="s">
        <v>15</v>
      </c>
      <c r="F72" s="9" t="s">
        <v>15</v>
      </c>
      <c r="G72" s="9" t="s">
        <v>938</v>
      </c>
      <c r="H72" s="9" t="s">
        <v>934</v>
      </c>
      <c r="I72" s="9" t="s">
        <v>935</v>
      </c>
      <c r="J72" s="9" t="s">
        <v>780</v>
      </c>
      <c r="K72" s="9" t="s">
        <v>936</v>
      </c>
      <c r="L72" s="9" t="s">
        <v>937</v>
      </c>
      <c r="M72" s="9" t="s">
        <v>758</v>
      </c>
      <c r="N72" s="9" t="s">
        <v>15</v>
      </c>
      <c r="O72" s="9" t="s">
        <v>15</v>
      </c>
    </row>
    <row r="73" spans="1:15" x14ac:dyDescent="0.25">
      <c r="A73" s="8">
        <v>72</v>
      </c>
      <c r="B73" s="9" t="str">
        <f t="shared" si="2"/>
        <v>DIODE,GENERAL PURPOSE,600V,15A,MICROCHIP,APT15DQ60KG,TO220-2</v>
      </c>
      <c r="C73" s="9" t="s">
        <v>15</v>
      </c>
      <c r="D73" s="9" t="s">
        <v>15</v>
      </c>
      <c r="E73" s="9" t="s">
        <v>15</v>
      </c>
      <c r="F73" s="9" t="s">
        <v>15</v>
      </c>
      <c r="G73" s="9" t="s">
        <v>739</v>
      </c>
      <c r="H73" s="9" t="s">
        <v>939</v>
      </c>
      <c r="I73" s="9" t="s">
        <v>940</v>
      </c>
      <c r="J73" s="9" t="s">
        <v>896</v>
      </c>
      <c r="K73" s="9" t="s">
        <v>941</v>
      </c>
      <c r="L73" s="9" t="s">
        <v>942</v>
      </c>
      <c r="M73" s="9" t="s">
        <v>774</v>
      </c>
      <c r="N73" s="9" t="s">
        <v>15</v>
      </c>
      <c r="O73" s="9" t="s">
        <v>15</v>
      </c>
    </row>
    <row r="74" spans="1:15" x14ac:dyDescent="0.25">
      <c r="A74" s="8">
        <v>73</v>
      </c>
      <c r="B74" s="9" t="str">
        <f t="shared" si="2"/>
        <v>DIODE,SUPER FAST, DUAL CA,300V,10A,TAIWAN SEMI,SFF1005GA,TO220</v>
      </c>
      <c r="C74" s="9" t="s">
        <v>15</v>
      </c>
      <c r="D74" s="9" t="s">
        <v>15</v>
      </c>
      <c r="E74" s="9" t="s">
        <v>15</v>
      </c>
      <c r="F74" s="9" t="s">
        <v>15</v>
      </c>
      <c r="G74" s="9" t="s">
        <v>946</v>
      </c>
      <c r="H74" s="9" t="s">
        <v>934</v>
      </c>
      <c r="I74" s="9" t="s">
        <v>943</v>
      </c>
      <c r="J74" s="9" t="s">
        <v>780</v>
      </c>
      <c r="K74" s="9" t="s">
        <v>944</v>
      </c>
      <c r="L74" s="9" t="s">
        <v>937</v>
      </c>
      <c r="M74" s="9" t="s">
        <v>945</v>
      </c>
      <c r="N74" s="9" t="s">
        <v>15</v>
      </c>
      <c r="O74" s="9" t="s">
        <v>15</v>
      </c>
    </row>
    <row r="75" spans="1:15" x14ac:dyDescent="0.25">
      <c r="A75" s="8">
        <v>74</v>
      </c>
      <c r="B75" s="9" t="str">
        <f t="shared" si="2"/>
        <v>DIODE,GENERAL PURPOSE, DUAL CC,150V,5A,LITTELFUSE,MBR130P,DO41</v>
      </c>
      <c r="C75" s="9" t="s">
        <v>15</v>
      </c>
      <c r="D75" s="9" t="s">
        <v>15</v>
      </c>
      <c r="E75" s="9" t="s">
        <v>15</v>
      </c>
      <c r="F75" s="9" t="s">
        <v>15</v>
      </c>
      <c r="G75" s="9" t="s">
        <v>911</v>
      </c>
      <c r="H75" s="9" t="s">
        <v>947</v>
      </c>
      <c r="I75" s="9" t="s">
        <v>948</v>
      </c>
      <c r="J75" s="9" t="s">
        <v>814</v>
      </c>
      <c r="K75" s="9" t="s">
        <v>949</v>
      </c>
      <c r="L75" s="9" t="s">
        <v>950</v>
      </c>
      <c r="M75" s="9" t="s">
        <v>889</v>
      </c>
      <c r="N75" s="9" t="s">
        <v>15</v>
      </c>
      <c r="O75" s="9" t="s">
        <v>15</v>
      </c>
    </row>
    <row r="76" spans="1:15" x14ac:dyDescent="0.25">
      <c r="A76" s="8">
        <v>75</v>
      </c>
      <c r="B76" s="9" t="str">
        <f t="shared" si="2"/>
        <v>DIODE,GENERAL PURPOSE,75V,0.3A,VISHAY,1N4148,DO35</v>
      </c>
      <c r="C76" s="9" t="s">
        <v>15</v>
      </c>
      <c r="D76" s="9" t="s">
        <v>15</v>
      </c>
      <c r="E76" s="9" t="s">
        <v>15</v>
      </c>
      <c r="F76" s="9" t="s">
        <v>15</v>
      </c>
      <c r="G76" s="9" t="s">
        <v>739</v>
      </c>
      <c r="H76" s="9" t="s">
        <v>176</v>
      </c>
      <c r="I76" s="9" t="s">
        <v>737</v>
      </c>
      <c r="J76" s="9" t="s">
        <v>763</v>
      </c>
      <c r="K76" s="9" t="s">
        <v>951</v>
      </c>
      <c r="L76" s="9" t="s">
        <v>696</v>
      </c>
      <c r="M76" s="9" t="s">
        <v>697</v>
      </c>
      <c r="N76" s="9" t="s">
        <v>15</v>
      </c>
      <c r="O76" s="9" t="s">
        <v>15</v>
      </c>
    </row>
    <row r="77" spans="1:15" x14ac:dyDescent="0.25">
      <c r="A77" s="8">
        <v>76</v>
      </c>
      <c r="B77" s="9" t="str">
        <f t="shared" si="2"/>
        <v>DIODE,GENERAL PURPOSE,50V,3A,ONSEMI,1N5400,DO201</v>
      </c>
      <c r="C77" s="9" t="s">
        <v>15</v>
      </c>
      <c r="D77" s="9" t="s">
        <v>15</v>
      </c>
      <c r="E77" s="9" t="s">
        <v>15</v>
      </c>
      <c r="F77" s="9" t="s">
        <v>15</v>
      </c>
      <c r="G77" s="9" t="s">
        <v>739</v>
      </c>
      <c r="H77" s="9" t="s">
        <v>685</v>
      </c>
      <c r="I77" s="9" t="s">
        <v>952</v>
      </c>
      <c r="J77" s="9" t="s">
        <v>865</v>
      </c>
      <c r="K77" s="9" t="s">
        <v>953</v>
      </c>
      <c r="L77" s="9" t="s">
        <v>843</v>
      </c>
      <c r="M77" s="9" t="s">
        <v>59</v>
      </c>
      <c r="N77" s="9" t="s">
        <v>15</v>
      </c>
      <c r="O77" s="9" t="s">
        <v>15</v>
      </c>
    </row>
    <row r="78" spans="1:15" x14ac:dyDescent="0.25">
      <c r="A78" s="8">
        <v>77</v>
      </c>
      <c r="B78" s="9" t="str">
        <f t="shared" si="2"/>
        <v>DIODE,ZENER,5V11,0.225W,NXP,BZX84C5V1LT1,SOT23</v>
      </c>
      <c r="C78" s="9" t="s">
        <v>15</v>
      </c>
      <c r="D78" s="9" t="s">
        <v>15</v>
      </c>
      <c r="E78" s="9" t="s">
        <v>15</v>
      </c>
      <c r="F78" s="9" t="s">
        <v>15</v>
      </c>
      <c r="G78" s="9" t="s">
        <v>708</v>
      </c>
      <c r="H78" s="9" t="s">
        <v>699</v>
      </c>
      <c r="I78" s="9" t="s">
        <v>954</v>
      </c>
      <c r="J78" s="9" t="s">
        <v>693</v>
      </c>
      <c r="K78" s="9" t="s">
        <v>955</v>
      </c>
      <c r="L78" s="9" t="s">
        <v>707</v>
      </c>
      <c r="M78" s="9" t="s">
        <v>956</v>
      </c>
      <c r="N78" s="9" t="s">
        <v>15</v>
      </c>
      <c r="O78" s="9" t="s">
        <v>15</v>
      </c>
    </row>
    <row r="79" spans="1:15" x14ac:dyDescent="0.25">
      <c r="A79" s="8">
        <v>78</v>
      </c>
      <c r="B79" s="9" t="str">
        <f t="shared" si="2"/>
        <v>DIODE,SCHOTTKY,30V,3A,DIOTEC,1N5821,DO201</v>
      </c>
      <c r="C79" s="9" t="s">
        <v>15</v>
      </c>
      <c r="D79" s="9" t="s">
        <v>15</v>
      </c>
      <c r="E79" s="9" t="s">
        <v>15</v>
      </c>
      <c r="F79" s="9" t="s">
        <v>15</v>
      </c>
      <c r="G79" s="9" t="s">
        <v>722</v>
      </c>
      <c r="H79" s="9" t="s">
        <v>836</v>
      </c>
      <c r="I79" s="9" t="s">
        <v>957</v>
      </c>
      <c r="J79" s="9" t="s">
        <v>865</v>
      </c>
      <c r="K79" s="9" t="s">
        <v>958</v>
      </c>
      <c r="L79" s="9" t="s">
        <v>843</v>
      </c>
      <c r="M79" s="9" t="s">
        <v>714</v>
      </c>
      <c r="N79" s="9" t="s">
        <v>15</v>
      </c>
      <c r="O79" s="9" t="s">
        <v>15</v>
      </c>
    </row>
    <row r="80" spans="1:15" x14ac:dyDescent="0.25">
      <c r="A80" s="8">
        <v>79</v>
      </c>
      <c r="B80" s="9" t="str">
        <f t="shared" si="2"/>
        <v>DIODE,ZENER,6V8,1W,ONSEMI,1N4736,DO41</v>
      </c>
      <c r="C80" s="9" t="s">
        <v>15</v>
      </c>
      <c r="D80" s="9" t="s">
        <v>15</v>
      </c>
      <c r="E80" s="9" t="s">
        <v>15</v>
      </c>
      <c r="F80" s="9" t="s">
        <v>15</v>
      </c>
      <c r="G80" s="9" t="s">
        <v>708</v>
      </c>
      <c r="H80" s="9" t="s">
        <v>685</v>
      </c>
      <c r="I80" s="9" t="s">
        <v>959</v>
      </c>
      <c r="J80" s="9" t="s">
        <v>814</v>
      </c>
      <c r="K80" s="9" t="s">
        <v>960</v>
      </c>
      <c r="L80" s="9" t="s">
        <v>816</v>
      </c>
      <c r="M80" s="9" t="s">
        <v>961</v>
      </c>
      <c r="N80" s="9" t="s">
        <v>15</v>
      </c>
      <c r="O80" s="9" t="s">
        <v>15</v>
      </c>
    </row>
    <row r="81" spans="1:15" x14ac:dyDescent="0.25">
      <c r="A81" s="8">
        <v>80</v>
      </c>
      <c r="B81" s="9" t="str">
        <f t="shared" si="2"/>
        <v>DIODE,ZENER,3V3,0.5W,ONSEMI,MMSZ5226BT1G,SOD123</v>
      </c>
      <c r="C81" s="9" t="s">
        <v>15</v>
      </c>
      <c r="D81" s="9" t="s">
        <v>15</v>
      </c>
      <c r="E81" s="9" t="s">
        <v>15</v>
      </c>
      <c r="F81" s="9" t="s">
        <v>15</v>
      </c>
      <c r="G81" s="9" t="s">
        <v>708</v>
      </c>
      <c r="H81" s="9" t="s">
        <v>685</v>
      </c>
      <c r="I81" s="9" t="s">
        <v>962</v>
      </c>
      <c r="J81" s="9" t="s">
        <v>801</v>
      </c>
      <c r="K81" s="9" t="s">
        <v>963</v>
      </c>
      <c r="L81" s="9" t="s">
        <v>799</v>
      </c>
      <c r="M81" s="9" t="s">
        <v>269</v>
      </c>
      <c r="N81" s="9" t="s">
        <v>15</v>
      </c>
      <c r="O81" s="9" t="s">
        <v>15</v>
      </c>
    </row>
    <row r="82" spans="1:15" x14ac:dyDescent="0.25">
      <c r="A82" s="8">
        <v>81</v>
      </c>
      <c r="B82" s="9" t="str">
        <f t="shared" si="2"/>
        <v>DIODE,ZENER,3V9,0.2W,NXP,BZT52C3V9S-7,SOD323</v>
      </c>
      <c r="C82" s="9" t="s">
        <v>15</v>
      </c>
      <c r="D82" s="9" t="s">
        <v>15</v>
      </c>
      <c r="E82" s="9" t="s">
        <v>15</v>
      </c>
      <c r="F82" s="9" t="s">
        <v>15</v>
      </c>
      <c r="G82" s="9" t="s">
        <v>708</v>
      </c>
      <c r="H82" s="9" t="s">
        <v>699</v>
      </c>
      <c r="I82" s="9" t="s">
        <v>964</v>
      </c>
      <c r="J82" s="9" t="s">
        <v>965</v>
      </c>
      <c r="K82" s="9" t="s">
        <v>966</v>
      </c>
      <c r="L82" s="9" t="s">
        <v>856</v>
      </c>
      <c r="M82" s="9" t="s">
        <v>967</v>
      </c>
      <c r="N82" s="9" t="s">
        <v>15</v>
      </c>
      <c r="O82" s="9" t="s">
        <v>15</v>
      </c>
    </row>
    <row r="83" spans="1:15" x14ac:dyDescent="0.25">
      <c r="A83" s="8">
        <v>82</v>
      </c>
      <c r="B83" s="9" t="str">
        <f t="shared" si="2"/>
        <v>DIODE,ZENER,6V2,0.25W,NXP,BZX84C6V2,SOT23</v>
      </c>
      <c r="C83" s="9" t="s">
        <v>15</v>
      </c>
      <c r="D83" s="9" t="s">
        <v>15</v>
      </c>
      <c r="E83" s="9" t="s">
        <v>15</v>
      </c>
      <c r="F83" s="9" t="s">
        <v>15</v>
      </c>
      <c r="G83" s="9" t="s">
        <v>708</v>
      </c>
      <c r="H83" s="9" t="s">
        <v>699</v>
      </c>
      <c r="I83" s="9" t="s">
        <v>968</v>
      </c>
      <c r="J83" s="9" t="s">
        <v>693</v>
      </c>
      <c r="K83" s="9" t="s">
        <v>969</v>
      </c>
      <c r="L83" s="9" t="s">
        <v>970</v>
      </c>
      <c r="M83" s="9" t="s">
        <v>820</v>
      </c>
      <c r="N83" s="9" t="s">
        <v>15</v>
      </c>
      <c r="O83" s="9" t="s">
        <v>15</v>
      </c>
    </row>
    <row r="84" spans="1:15" x14ac:dyDescent="0.25">
      <c r="A84" s="8">
        <v>83</v>
      </c>
      <c r="B84" s="9" t="str">
        <f t="shared" si="2"/>
        <v>DIODE,GENERAL PURPOSE, DUAL SERIES,75V,0.15A,NXP,BAV99,SOT23</v>
      </c>
      <c r="C84" s="9" t="s">
        <v>15</v>
      </c>
      <c r="D84" s="9" t="s">
        <v>15</v>
      </c>
      <c r="E84" s="9" t="s">
        <v>15</v>
      </c>
      <c r="F84" s="9" t="s">
        <v>15</v>
      </c>
      <c r="G84" s="9" t="s">
        <v>972</v>
      </c>
      <c r="H84" s="9" t="s">
        <v>699</v>
      </c>
      <c r="I84" s="9" t="s">
        <v>728</v>
      </c>
      <c r="J84" s="9" t="s">
        <v>693</v>
      </c>
      <c r="K84" s="9" t="s">
        <v>971</v>
      </c>
      <c r="L84" s="9" t="s">
        <v>730</v>
      </c>
      <c r="M84" s="9" t="s">
        <v>697</v>
      </c>
      <c r="N84" s="9" t="s">
        <v>15</v>
      </c>
      <c r="O84" s="9" t="s">
        <v>15</v>
      </c>
    </row>
    <row r="85" spans="1:15" x14ac:dyDescent="0.25">
      <c r="A85" s="8">
        <v>84</v>
      </c>
      <c r="B85" s="9" t="str">
        <f t="shared" si="2"/>
        <v>DIODE,TVS, DUAL USB,5V5,,NXP,PRTR5V0U2AX,SOT143</v>
      </c>
      <c r="C85" s="9" t="s">
        <v>15</v>
      </c>
      <c r="D85" s="9" t="s">
        <v>15</v>
      </c>
      <c r="E85" s="9" t="s">
        <v>15</v>
      </c>
      <c r="F85" s="9" t="s">
        <v>15</v>
      </c>
      <c r="G85" s="9" t="s">
        <v>977</v>
      </c>
      <c r="H85" s="9" t="s">
        <v>699</v>
      </c>
      <c r="I85" s="9" t="s">
        <v>973</v>
      </c>
      <c r="J85" s="9" t="s">
        <v>974</v>
      </c>
      <c r="K85" s="9" t="s">
        <v>975</v>
      </c>
      <c r="L85" s="9" t="s">
        <v>15</v>
      </c>
      <c r="M85" s="9" t="s">
        <v>976</v>
      </c>
      <c r="N85" s="9" t="s">
        <v>15</v>
      </c>
      <c r="O85" s="9" t="s">
        <v>15</v>
      </c>
    </row>
    <row r="86" spans="1:15" x14ac:dyDescent="0.25">
      <c r="A86" s="8">
        <v>85</v>
      </c>
      <c r="B86" s="9" t="str">
        <f t="shared" si="2"/>
        <v>DIODE,GENERAL PURPOSE,80V,0.1A,PANASONIC,MA2J11100L,SMINI2</v>
      </c>
      <c r="C86" s="9" t="s">
        <v>15</v>
      </c>
      <c r="D86" s="9" t="s">
        <v>15</v>
      </c>
      <c r="E86" s="9" t="s">
        <v>15</v>
      </c>
      <c r="F86" s="9" t="s">
        <v>15</v>
      </c>
      <c r="G86" s="9" t="s">
        <v>739</v>
      </c>
      <c r="H86" s="9" t="s">
        <v>22</v>
      </c>
      <c r="I86" s="9" t="s">
        <v>978</v>
      </c>
      <c r="J86" s="9" t="s">
        <v>979</v>
      </c>
      <c r="K86" s="9" t="s">
        <v>980</v>
      </c>
      <c r="L86" s="9" t="s">
        <v>981</v>
      </c>
      <c r="M86" s="9" t="s">
        <v>791</v>
      </c>
      <c r="N86" s="9" t="s">
        <v>15</v>
      </c>
      <c r="O86" s="9" t="s">
        <v>15</v>
      </c>
    </row>
    <row r="87" spans="1:15" x14ac:dyDescent="0.25">
      <c r="A87" s="8">
        <v>86</v>
      </c>
      <c r="B87" s="9" t="str">
        <f t="shared" si="2"/>
        <v>DIODE,SCHOTTKY,10V,3A,NXP,PMEG1030EH.115,SOD123F</v>
      </c>
      <c r="C87" s="9" t="s">
        <v>15</v>
      </c>
      <c r="D87" s="9" t="s">
        <v>15</v>
      </c>
      <c r="E87" s="9" t="s">
        <v>15</v>
      </c>
      <c r="F87" s="9" t="s">
        <v>15</v>
      </c>
      <c r="G87" s="9" t="s">
        <v>722</v>
      </c>
      <c r="H87" s="9" t="s">
        <v>699</v>
      </c>
      <c r="I87" s="9" t="s">
        <v>982</v>
      </c>
      <c r="J87" s="9" t="s">
        <v>983</v>
      </c>
      <c r="K87" s="9" t="s">
        <v>984</v>
      </c>
      <c r="L87" s="9" t="s">
        <v>843</v>
      </c>
      <c r="M87" s="9" t="s">
        <v>50</v>
      </c>
      <c r="N87" s="9" t="s">
        <v>15</v>
      </c>
      <c r="O87" s="9" t="s">
        <v>15</v>
      </c>
    </row>
    <row r="88" spans="1:15" x14ac:dyDescent="0.25">
      <c r="A88" s="8">
        <v>87</v>
      </c>
      <c r="B88" s="9" t="str">
        <f t="shared" si="2"/>
        <v>DIODE,ZENER,5V1,0.5W,ONSEMI,MMSZ5231BT10,SOD123</v>
      </c>
      <c r="C88" s="9" t="s">
        <v>15</v>
      </c>
      <c r="D88" s="9" t="s">
        <v>15</v>
      </c>
      <c r="E88" s="9" t="s">
        <v>15</v>
      </c>
      <c r="F88" s="9" t="s">
        <v>15</v>
      </c>
      <c r="G88" s="9" t="s">
        <v>708</v>
      </c>
      <c r="H88" s="9" t="s">
        <v>685</v>
      </c>
      <c r="I88" s="9" t="s">
        <v>985</v>
      </c>
      <c r="J88" s="9" t="s">
        <v>801</v>
      </c>
      <c r="K88" s="9" t="s">
        <v>986</v>
      </c>
      <c r="L88" s="9" t="s">
        <v>799</v>
      </c>
      <c r="M88" s="9" t="s">
        <v>812</v>
      </c>
      <c r="N88" s="9" t="s">
        <v>15</v>
      </c>
      <c r="O88" s="9" t="s">
        <v>15</v>
      </c>
    </row>
    <row r="89" spans="1:15" x14ac:dyDescent="0.25">
      <c r="A89" s="8">
        <v>88</v>
      </c>
      <c r="B89" s="9" t="str">
        <f t="shared" si="2"/>
        <v>DIODE,ZENER,3V3,0.2W,ONSEMI,MM3Z3V3BCT,SOD123F</v>
      </c>
      <c r="C89" s="9" t="s">
        <v>15</v>
      </c>
      <c r="D89" s="9" t="s">
        <v>15</v>
      </c>
      <c r="E89" s="9" t="s">
        <v>15</v>
      </c>
      <c r="F89" s="9" t="s">
        <v>15</v>
      </c>
      <c r="G89" s="9" t="s">
        <v>708</v>
      </c>
      <c r="H89" s="9" t="s">
        <v>685</v>
      </c>
      <c r="I89" s="9" t="s">
        <v>987</v>
      </c>
      <c r="J89" s="9" t="s">
        <v>983</v>
      </c>
      <c r="K89" s="9" t="s">
        <v>988</v>
      </c>
      <c r="L89" s="9" t="s">
        <v>856</v>
      </c>
      <c r="M89" s="9" t="s">
        <v>269</v>
      </c>
      <c r="N89" s="9" t="s">
        <v>15</v>
      </c>
      <c r="O89" s="9" t="s">
        <v>15</v>
      </c>
    </row>
    <row r="90" spans="1:15" x14ac:dyDescent="0.25">
      <c r="A90" s="8">
        <v>89</v>
      </c>
      <c r="B90" s="9" t="str">
        <f t="shared" si="2"/>
        <v>DIODE,SCHOTTKY,40V,5A,DIODES INC,B540CDICT,SMC</v>
      </c>
      <c r="C90" s="9" t="s">
        <v>15</v>
      </c>
      <c r="D90" s="9" t="s">
        <v>15</v>
      </c>
      <c r="E90" s="9" t="s">
        <v>15</v>
      </c>
      <c r="F90" s="9" t="s">
        <v>15</v>
      </c>
      <c r="G90" s="9" t="s">
        <v>722</v>
      </c>
      <c r="H90" s="9" t="s">
        <v>724</v>
      </c>
      <c r="I90" s="9" t="s">
        <v>989</v>
      </c>
      <c r="J90" s="9" t="s">
        <v>733</v>
      </c>
      <c r="K90" s="9" t="s">
        <v>990</v>
      </c>
      <c r="L90" s="9" t="s">
        <v>950</v>
      </c>
      <c r="M90" s="9" t="s">
        <v>721</v>
      </c>
      <c r="N90" s="9" t="s">
        <v>15</v>
      </c>
      <c r="O90" s="9" t="s">
        <v>15</v>
      </c>
    </row>
    <row r="91" spans="1:15" x14ac:dyDescent="0.25">
      <c r="A91" s="8">
        <v>90</v>
      </c>
      <c r="B91" s="9" t="str">
        <f t="shared" si="2"/>
        <v>DIODE,TVS, USB,6V,,ST,USBLC-2SC6,SOT23-6</v>
      </c>
      <c r="C91" s="9" t="s">
        <v>15</v>
      </c>
      <c r="D91" s="9" t="s">
        <v>15</v>
      </c>
      <c r="E91" s="9" t="s">
        <v>15</v>
      </c>
      <c r="F91" s="9" t="s">
        <v>15</v>
      </c>
      <c r="G91" s="9" t="s">
        <v>995</v>
      </c>
      <c r="H91" s="9" t="s">
        <v>807</v>
      </c>
      <c r="I91" s="9" t="s">
        <v>991</v>
      </c>
      <c r="J91" s="9" t="s">
        <v>992</v>
      </c>
      <c r="K91" s="9" t="s">
        <v>993</v>
      </c>
      <c r="L91" s="9" t="s">
        <v>15</v>
      </c>
      <c r="M91" s="9" t="s">
        <v>994</v>
      </c>
      <c r="N91" s="9" t="s">
        <v>15</v>
      </c>
      <c r="O91" s="9" t="s">
        <v>15</v>
      </c>
    </row>
    <row r="92" spans="1:15" x14ac:dyDescent="0.25">
      <c r="A92" s="8">
        <v>91</v>
      </c>
      <c r="B92" s="9" t="str">
        <f t="shared" si="2"/>
        <v>DIODE,ZENER,4V7,0.5W,ONSEMI,MMSZ5230ST10SCT,SOD123</v>
      </c>
      <c r="C92" s="9" t="s">
        <v>15</v>
      </c>
      <c r="D92" s="9" t="s">
        <v>15</v>
      </c>
      <c r="E92" s="9" t="s">
        <v>15</v>
      </c>
      <c r="F92" s="9" t="s">
        <v>15</v>
      </c>
      <c r="G92" s="9" t="s">
        <v>708</v>
      </c>
      <c r="H92" s="9" t="s">
        <v>685</v>
      </c>
      <c r="I92" s="9" t="s">
        <v>996</v>
      </c>
      <c r="J92" s="9" t="s">
        <v>801</v>
      </c>
      <c r="K92" s="9" t="s">
        <v>997</v>
      </c>
      <c r="L92" s="9" t="s">
        <v>799</v>
      </c>
      <c r="M92" s="9" t="s">
        <v>998</v>
      </c>
      <c r="N92" s="9" t="s">
        <v>15</v>
      </c>
      <c r="O92" s="9" t="s">
        <v>15</v>
      </c>
    </row>
    <row r="93" spans="1:15" x14ac:dyDescent="0.25">
      <c r="A93" s="8">
        <v>92</v>
      </c>
      <c r="B93" s="9" t="str">
        <f t="shared" si="2"/>
        <v>DIODE,GENERAL PURPOSE, DUAL CC,100V,0.2A,NXP,BAV70,SOT23</v>
      </c>
      <c r="C93" s="9" t="s">
        <v>15</v>
      </c>
      <c r="D93" s="9" t="s">
        <v>15</v>
      </c>
      <c r="E93" s="9" t="s">
        <v>15</v>
      </c>
      <c r="F93" s="9" t="s">
        <v>15</v>
      </c>
      <c r="G93" s="9" t="s">
        <v>911</v>
      </c>
      <c r="H93" s="9" t="s">
        <v>699</v>
      </c>
      <c r="I93" s="9" t="s">
        <v>999</v>
      </c>
      <c r="J93" s="9" t="s">
        <v>693</v>
      </c>
      <c r="K93" s="9" t="s">
        <v>1000</v>
      </c>
      <c r="L93" s="9" t="s">
        <v>713</v>
      </c>
      <c r="M93" s="9" t="s">
        <v>198</v>
      </c>
      <c r="N93" s="9" t="s">
        <v>15</v>
      </c>
      <c r="O93" s="9" t="s">
        <v>15</v>
      </c>
    </row>
    <row r="94" spans="1:15" x14ac:dyDescent="0.25">
      <c r="A94" s="8">
        <v>93</v>
      </c>
      <c r="B94" s="9" t="str">
        <f t="shared" si="2"/>
        <v>DIODE,ZENER,2V,0.5W,ONSEMI,MMSZ4679T10SCT,SOD123</v>
      </c>
      <c r="C94" s="9" t="s">
        <v>15</v>
      </c>
      <c r="D94" s="9" t="s">
        <v>15</v>
      </c>
      <c r="E94" s="9" t="s">
        <v>15</v>
      </c>
      <c r="F94" s="9" t="s">
        <v>15</v>
      </c>
      <c r="G94" s="9" t="s">
        <v>708</v>
      </c>
      <c r="H94" s="9" t="s">
        <v>685</v>
      </c>
      <c r="I94" s="9" t="s">
        <v>1001</v>
      </c>
      <c r="J94" s="9" t="s">
        <v>801</v>
      </c>
      <c r="K94" s="9" t="s">
        <v>1002</v>
      </c>
      <c r="L94" s="9" t="s">
        <v>799</v>
      </c>
      <c r="M94" s="9" t="s">
        <v>1003</v>
      </c>
      <c r="N94" s="9" t="s">
        <v>15</v>
      </c>
      <c r="O94" s="9" t="s">
        <v>15</v>
      </c>
    </row>
    <row r="95" spans="1:15" x14ac:dyDescent="0.25">
      <c r="A95" s="8">
        <v>94</v>
      </c>
      <c r="B95" s="9" t="str">
        <f t="shared" si="2"/>
        <v>DIODE,ZENER,2V,0.25W,CENTRAL SEMICONDUCTOR,CMDZ2L0,SOD323</v>
      </c>
      <c r="C95" s="9" t="s">
        <v>15</v>
      </c>
      <c r="D95" s="9" t="s">
        <v>15</v>
      </c>
      <c r="E95" s="9" t="s">
        <v>15</v>
      </c>
      <c r="F95" s="9" t="s">
        <v>15</v>
      </c>
      <c r="G95" s="9" t="s">
        <v>708</v>
      </c>
      <c r="H95" s="9" t="s">
        <v>1004</v>
      </c>
      <c r="I95" s="9" t="s">
        <v>1005</v>
      </c>
      <c r="J95" s="9" t="s">
        <v>965</v>
      </c>
      <c r="K95" s="9" t="s">
        <v>1006</v>
      </c>
      <c r="L95" s="9" t="s">
        <v>970</v>
      </c>
      <c r="M95" s="9" t="s">
        <v>1003</v>
      </c>
      <c r="N95" s="9" t="s">
        <v>15</v>
      </c>
      <c r="O95" s="9" t="s">
        <v>15</v>
      </c>
    </row>
    <row r="96" spans="1:15" x14ac:dyDescent="0.25">
      <c r="A96" s="8">
        <v>95</v>
      </c>
      <c r="B96" s="9" t="str">
        <f t="shared" si="2"/>
        <v>DIODE,LED,RGB,,OSRAM,LRTBG6TG,PLCC6</v>
      </c>
      <c r="C96" s="9" t="s">
        <v>15</v>
      </c>
      <c r="D96" s="9" t="s">
        <v>15</v>
      </c>
      <c r="E96" s="9" t="s">
        <v>15</v>
      </c>
      <c r="F96" s="9" t="s">
        <v>15</v>
      </c>
      <c r="G96" s="9" t="s">
        <v>1012</v>
      </c>
      <c r="H96" s="9" t="s">
        <v>1007</v>
      </c>
      <c r="I96" s="9" t="s">
        <v>1008</v>
      </c>
      <c r="J96" s="9" t="s">
        <v>1009</v>
      </c>
      <c r="K96" s="9" t="s">
        <v>1010</v>
      </c>
      <c r="L96" s="9" t="s">
        <v>15</v>
      </c>
      <c r="M96" s="9" t="s">
        <v>1011</v>
      </c>
      <c r="N96" s="9" t="s">
        <v>15</v>
      </c>
      <c r="O96" s="9" t="s">
        <v>15</v>
      </c>
    </row>
    <row r="97" spans="1:15" x14ac:dyDescent="0.25">
      <c r="A97" s="8">
        <v>96</v>
      </c>
      <c r="B97" s="9" t="str">
        <f t="shared" si="2"/>
        <v>DIODE,ZENER,3V6,0.5W,ONSEMI,MMSZ5227BT10SCT,SOD123</v>
      </c>
      <c r="C97" s="9" t="s">
        <v>15</v>
      </c>
      <c r="D97" s="9" t="s">
        <v>15</v>
      </c>
      <c r="E97" s="9" t="s">
        <v>15</v>
      </c>
      <c r="F97" s="9" t="s">
        <v>15</v>
      </c>
      <c r="G97" s="9" t="s">
        <v>708</v>
      </c>
      <c r="H97" s="9" t="s">
        <v>685</v>
      </c>
      <c r="I97" s="9" t="s">
        <v>1013</v>
      </c>
      <c r="J97" s="9" t="s">
        <v>801</v>
      </c>
      <c r="K97" s="9" t="s">
        <v>1014</v>
      </c>
      <c r="L97" s="9" t="s">
        <v>799</v>
      </c>
      <c r="M97" s="9" t="s">
        <v>804</v>
      </c>
      <c r="N97" s="9" t="s">
        <v>15</v>
      </c>
      <c r="O97" s="9" t="s">
        <v>15</v>
      </c>
    </row>
    <row r="98" spans="1:15" x14ac:dyDescent="0.25">
      <c r="A98" s="8">
        <v>97</v>
      </c>
      <c r="B98" s="9" t="str">
        <f t="shared" ref="B98:B128" si="3">_xlfn.CONCAT("DIODE,",G98,",",M98,",",L98,",",H98,",",I98,",",J98)</f>
        <v>DIODE,ZENER,5V1,0.25W,NXP,BZX84-C5V1,SOT23</v>
      </c>
      <c r="C98" s="9" t="s">
        <v>15</v>
      </c>
      <c r="D98" s="9" t="s">
        <v>15</v>
      </c>
      <c r="E98" s="9" t="s">
        <v>15</v>
      </c>
      <c r="F98" s="9" t="s">
        <v>15</v>
      </c>
      <c r="G98" s="9" t="s">
        <v>708</v>
      </c>
      <c r="H98" s="9" t="s">
        <v>699</v>
      </c>
      <c r="I98" s="9" t="s">
        <v>1015</v>
      </c>
      <c r="J98" s="9" t="s">
        <v>693</v>
      </c>
      <c r="K98" s="9" t="s">
        <v>1016</v>
      </c>
      <c r="L98" s="9" t="s">
        <v>970</v>
      </c>
      <c r="M98" s="9" t="s">
        <v>812</v>
      </c>
      <c r="N98" s="9" t="s">
        <v>15</v>
      </c>
      <c r="O98" s="9" t="s">
        <v>15</v>
      </c>
    </row>
    <row r="99" spans="1:15" x14ac:dyDescent="0.25">
      <c r="A99" s="8">
        <v>98</v>
      </c>
      <c r="B99" s="9" t="str">
        <f t="shared" si="3"/>
        <v>DIODE,TVS,12V,,ST,SM2T14A,DO216</v>
      </c>
      <c r="C99" s="9" t="s">
        <v>15</v>
      </c>
      <c r="D99" s="9" t="s">
        <v>15</v>
      </c>
      <c r="E99" s="9" t="s">
        <v>15</v>
      </c>
      <c r="F99" s="9" t="s">
        <v>15</v>
      </c>
      <c r="G99" s="9" t="s">
        <v>835</v>
      </c>
      <c r="H99" s="9" t="s">
        <v>807</v>
      </c>
      <c r="I99" s="9" t="s">
        <v>1017</v>
      </c>
      <c r="J99" s="9" t="s">
        <v>1018</v>
      </c>
      <c r="K99" s="9" t="s">
        <v>1019</v>
      </c>
      <c r="L99" s="9" t="s">
        <v>15</v>
      </c>
      <c r="M99" s="9" t="s">
        <v>1020</v>
      </c>
      <c r="N99" s="9" t="s">
        <v>15</v>
      </c>
      <c r="O99" s="9" t="s">
        <v>15</v>
      </c>
    </row>
    <row r="100" spans="1:15" x14ac:dyDescent="0.25">
      <c r="A100" s="8">
        <v>99</v>
      </c>
      <c r="B100" s="9" t="str">
        <f t="shared" si="3"/>
        <v>DIODE,SCHOTTKY,30V,5A,TOSHIBA,CMS04CT-ND,MFLAT</v>
      </c>
      <c r="C100" s="9" t="s">
        <v>15</v>
      </c>
      <c r="D100" s="9" t="s">
        <v>15</v>
      </c>
      <c r="E100" s="9" t="s">
        <v>15</v>
      </c>
      <c r="F100" s="9" t="s">
        <v>15</v>
      </c>
      <c r="G100" s="9" t="s">
        <v>722</v>
      </c>
      <c r="H100" s="9" t="s">
        <v>1021</v>
      </c>
      <c r="I100" s="9" t="s">
        <v>1022</v>
      </c>
      <c r="J100" s="9" t="s">
        <v>1023</v>
      </c>
      <c r="K100" s="9" t="s">
        <v>1024</v>
      </c>
      <c r="L100" s="9" t="s">
        <v>950</v>
      </c>
      <c r="M100" s="9" t="s">
        <v>714</v>
      </c>
      <c r="N100" s="9" t="s">
        <v>15</v>
      </c>
      <c r="O100" s="9" t="s">
        <v>15</v>
      </c>
    </row>
    <row r="101" spans="1:15" x14ac:dyDescent="0.25">
      <c r="A101" s="8">
        <v>100</v>
      </c>
      <c r="B101" s="9" t="str">
        <f t="shared" si="3"/>
        <v>DIODE,ZENER,3V6,0.2W,ONSEMI,MM3Z3V6CCT-ND,SOD323F</v>
      </c>
      <c r="C101" s="9" t="s">
        <v>15</v>
      </c>
      <c r="D101" s="9" t="s">
        <v>15</v>
      </c>
      <c r="E101" s="9" t="s">
        <v>15</v>
      </c>
      <c r="F101" s="9" t="s">
        <v>15</v>
      </c>
      <c r="G101" s="9" t="s">
        <v>708</v>
      </c>
      <c r="H101" s="9" t="s">
        <v>685</v>
      </c>
      <c r="I101" s="9" t="s">
        <v>1025</v>
      </c>
      <c r="J101" s="9" t="s">
        <v>1026</v>
      </c>
      <c r="K101" s="9" t="s">
        <v>1027</v>
      </c>
      <c r="L101" s="9" t="s">
        <v>856</v>
      </c>
      <c r="M101" s="9" t="s">
        <v>804</v>
      </c>
      <c r="N101" s="9" t="s">
        <v>15</v>
      </c>
      <c r="O101" s="9" t="s">
        <v>15</v>
      </c>
    </row>
    <row r="102" spans="1:15" x14ac:dyDescent="0.25">
      <c r="A102" s="8">
        <v>101</v>
      </c>
      <c r="B102" s="9" t="str">
        <f t="shared" si="3"/>
        <v>DIODE,GENERAL PURPOSE,40V,0.1A,PANASONIC,MA116CT-ND,SMINI2</v>
      </c>
      <c r="C102" s="9" t="s">
        <v>15</v>
      </c>
      <c r="D102" s="9" t="s">
        <v>15</v>
      </c>
      <c r="E102" s="9" t="s">
        <v>15</v>
      </c>
      <c r="F102" s="9" t="s">
        <v>15</v>
      </c>
      <c r="G102" s="9" t="s">
        <v>739</v>
      </c>
      <c r="H102" s="9" t="s">
        <v>22</v>
      </c>
      <c r="I102" s="9" t="s">
        <v>1028</v>
      </c>
      <c r="J102" s="9" t="s">
        <v>979</v>
      </c>
      <c r="K102" s="9" t="s">
        <v>1029</v>
      </c>
      <c r="L102" s="9" t="s">
        <v>981</v>
      </c>
      <c r="M102" s="9" t="s">
        <v>721</v>
      </c>
      <c r="N102" s="9" t="s">
        <v>15</v>
      </c>
      <c r="O102" s="9" t="s">
        <v>15</v>
      </c>
    </row>
    <row r="103" spans="1:15" x14ac:dyDescent="0.25">
      <c r="A103" s="8">
        <v>102</v>
      </c>
      <c r="B103" s="9" t="str">
        <f t="shared" si="3"/>
        <v>DIODE,TVS,USB,5.25V,,ST,USBLC6-4SC6,SOT23-6</v>
      </c>
      <c r="C103" s="9" t="s">
        <v>15</v>
      </c>
      <c r="D103" s="9" t="s">
        <v>15</v>
      </c>
      <c r="E103" s="9" t="s">
        <v>15</v>
      </c>
      <c r="F103" s="9" t="s">
        <v>15</v>
      </c>
      <c r="G103" s="9" t="s">
        <v>1033</v>
      </c>
      <c r="H103" s="9" t="s">
        <v>807</v>
      </c>
      <c r="I103" s="9" t="s">
        <v>1030</v>
      </c>
      <c r="J103" s="9" t="s">
        <v>992</v>
      </c>
      <c r="K103" s="9" t="s">
        <v>1031</v>
      </c>
      <c r="L103" s="9" t="s">
        <v>15</v>
      </c>
      <c r="M103" s="9" t="s">
        <v>1032</v>
      </c>
      <c r="N103" s="9" t="s">
        <v>15</v>
      </c>
      <c r="O103" s="9" t="s">
        <v>15</v>
      </c>
    </row>
    <row r="104" spans="1:15" x14ac:dyDescent="0.25">
      <c r="A104" s="8">
        <v>103</v>
      </c>
      <c r="B104" s="9" t="str">
        <f t="shared" si="3"/>
        <v>DIODE,SCHOTTKY,30V,1.5A,PANASONIC,MA2Q70500LCT-ND,NMINIP</v>
      </c>
      <c r="C104" s="9" t="s">
        <v>15</v>
      </c>
      <c r="D104" s="9" t="s">
        <v>15</v>
      </c>
      <c r="E104" s="9" t="s">
        <v>15</v>
      </c>
      <c r="F104" s="9" t="s">
        <v>15</v>
      </c>
      <c r="G104" s="9" t="s">
        <v>722</v>
      </c>
      <c r="H104" s="9" t="s">
        <v>22</v>
      </c>
      <c r="I104" s="9" t="s">
        <v>1034</v>
      </c>
      <c r="J104" s="9" t="s">
        <v>1035</v>
      </c>
      <c r="K104" s="9" t="s">
        <v>1036</v>
      </c>
      <c r="L104" s="9" t="s">
        <v>880</v>
      </c>
      <c r="M104" s="9" t="s">
        <v>714</v>
      </c>
      <c r="N104" s="9" t="s">
        <v>15</v>
      </c>
      <c r="O104" s="9" t="s">
        <v>15</v>
      </c>
    </row>
    <row r="105" spans="1:15" x14ac:dyDescent="0.25">
      <c r="A105" s="8">
        <v>105</v>
      </c>
      <c r="B105" s="9" t="str">
        <f t="shared" si="3"/>
        <v>DIODE,BRIDGE,600V,1A,GI,GBU8J,SIP-4</v>
      </c>
      <c r="C105" s="9" t="s">
        <v>15</v>
      </c>
      <c r="D105" s="9" t="s">
        <v>15</v>
      </c>
      <c r="E105" s="9" t="s">
        <v>15</v>
      </c>
      <c r="F105" s="9" t="s">
        <v>15</v>
      </c>
      <c r="G105" s="9" t="s">
        <v>691</v>
      </c>
      <c r="H105" s="9" t="s">
        <v>1037</v>
      </c>
      <c r="I105" s="9" t="s">
        <v>1038</v>
      </c>
      <c r="J105" s="9" t="s">
        <v>4031</v>
      </c>
      <c r="K105" s="9" t="s">
        <v>1039</v>
      </c>
      <c r="L105" s="9" t="s">
        <v>757</v>
      </c>
      <c r="M105" s="9" t="s">
        <v>774</v>
      </c>
      <c r="N105" s="9" t="s">
        <v>15</v>
      </c>
      <c r="O105" s="9" t="s">
        <v>15</v>
      </c>
    </row>
    <row r="106" spans="1:15" x14ac:dyDescent="0.25">
      <c r="A106" s="8">
        <v>106</v>
      </c>
      <c r="B106" s="9" t="str">
        <f t="shared" si="3"/>
        <v>DIODE,SCHOTTKY,50V,10A,PEC,10SQ050,R-6</v>
      </c>
      <c r="C106" s="9" t="s">
        <v>15</v>
      </c>
      <c r="D106" s="9" t="s">
        <v>15</v>
      </c>
      <c r="E106" s="9" t="s">
        <v>15</v>
      </c>
      <c r="F106" s="9" t="s">
        <v>15</v>
      </c>
      <c r="G106" s="9" t="s">
        <v>722</v>
      </c>
      <c r="H106" s="9" t="s">
        <v>1040</v>
      </c>
      <c r="I106" s="9" t="s">
        <v>1041</v>
      </c>
      <c r="J106" s="9" t="s">
        <v>824</v>
      </c>
      <c r="K106" s="9" t="s">
        <v>1042</v>
      </c>
      <c r="L106" s="9" t="s">
        <v>937</v>
      </c>
      <c r="M106" s="9" t="s">
        <v>59</v>
      </c>
      <c r="N106" s="9" t="s">
        <v>15</v>
      </c>
      <c r="O106" s="9" t="s">
        <v>15</v>
      </c>
    </row>
    <row r="107" spans="1:15" x14ac:dyDescent="0.25">
      <c r="A107" s="8">
        <v>107</v>
      </c>
      <c r="B107" s="9" t="str">
        <f t="shared" si="3"/>
        <v>DIODE,,,,ONSEMI,1N4004,DO41</v>
      </c>
      <c r="C107" s="9" t="s">
        <v>15</v>
      </c>
      <c r="D107" s="9" t="s">
        <v>15</v>
      </c>
      <c r="E107" s="9" t="s">
        <v>15</v>
      </c>
      <c r="F107" s="9" t="s">
        <v>15</v>
      </c>
      <c r="G107" s="9" t="s">
        <v>15</v>
      </c>
      <c r="H107" s="9" t="s">
        <v>685</v>
      </c>
      <c r="I107" s="9" t="s">
        <v>899</v>
      </c>
      <c r="J107" s="9" t="s">
        <v>814</v>
      </c>
      <c r="K107" s="9" t="s">
        <v>1043</v>
      </c>
      <c r="L107" s="9" t="s">
        <v>15</v>
      </c>
      <c r="M107" s="9" t="s">
        <v>15</v>
      </c>
      <c r="N107" s="9" t="s">
        <v>15</v>
      </c>
      <c r="O107" s="9" t="s">
        <v>15</v>
      </c>
    </row>
    <row r="108" spans="1:15" x14ac:dyDescent="0.25">
      <c r="A108" s="8">
        <v>108</v>
      </c>
      <c r="B108" s="9" t="str">
        <f t="shared" si="3"/>
        <v>DIODE,,,,,BAT54C,SOT23</v>
      </c>
      <c r="C108" s="9" t="s">
        <v>15</v>
      </c>
      <c r="D108" s="9" t="s">
        <v>15</v>
      </c>
      <c r="E108" s="9" t="s">
        <v>15</v>
      </c>
      <c r="F108" s="9" t="s">
        <v>15</v>
      </c>
      <c r="G108" s="9" t="s">
        <v>15</v>
      </c>
      <c r="H108" s="9" t="s">
        <v>15</v>
      </c>
      <c r="I108" s="9" t="s">
        <v>711</v>
      </c>
      <c r="J108" s="9" t="s">
        <v>693</v>
      </c>
      <c r="K108" s="9" t="s">
        <v>1044</v>
      </c>
      <c r="L108" s="9" t="s">
        <v>15</v>
      </c>
      <c r="M108" s="9" t="s">
        <v>15</v>
      </c>
      <c r="N108" s="9" t="s">
        <v>15</v>
      </c>
      <c r="O108" s="9" t="s">
        <v>15</v>
      </c>
    </row>
    <row r="109" spans="1:15" x14ac:dyDescent="0.25">
      <c r="A109" s="8">
        <v>109</v>
      </c>
      <c r="B109" s="9" t="str">
        <f t="shared" si="3"/>
        <v>DIODE,,,,ONSEMI,MBR230LSFT1G,SOD123F</v>
      </c>
      <c r="C109" s="9" t="s">
        <v>15</v>
      </c>
      <c r="D109" s="9" t="s">
        <v>15</v>
      </c>
      <c r="E109" s="9" t="s">
        <v>15</v>
      </c>
      <c r="F109" s="9" t="s">
        <v>15</v>
      </c>
      <c r="G109" s="9" t="s">
        <v>15</v>
      </c>
      <c r="H109" s="9" t="s">
        <v>685</v>
      </c>
      <c r="I109" s="9" t="s">
        <v>1045</v>
      </c>
      <c r="J109" s="9" t="s">
        <v>983</v>
      </c>
      <c r="K109" s="9" t="s">
        <v>1046</v>
      </c>
      <c r="L109" s="9" t="s">
        <v>15</v>
      </c>
      <c r="M109" s="9" t="s">
        <v>15</v>
      </c>
      <c r="N109" s="9" t="s">
        <v>15</v>
      </c>
      <c r="O109" s="9" t="s">
        <v>15</v>
      </c>
    </row>
    <row r="110" spans="1:15" x14ac:dyDescent="0.25">
      <c r="A110" s="8">
        <v>110</v>
      </c>
      <c r="B110" s="9" t="str">
        <f t="shared" si="3"/>
        <v>DIODE,,,,ONSEMI,MBRS1100TRPBF,</v>
      </c>
      <c r="C110" s="9" t="s">
        <v>15</v>
      </c>
      <c r="D110" s="9" t="s">
        <v>15</v>
      </c>
      <c r="E110" s="9" t="s">
        <v>15</v>
      </c>
      <c r="F110" s="9" t="s">
        <v>15</v>
      </c>
      <c r="G110" s="9" t="s">
        <v>15</v>
      </c>
      <c r="H110" s="9" t="s">
        <v>685</v>
      </c>
      <c r="I110" s="9" t="s">
        <v>1047</v>
      </c>
      <c r="J110" s="9" t="s">
        <v>15</v>
      </c>
      <c r="K110" s="9" t="s">
        <v>1048</v>
      </c>
      <c r="L110" s="9" t="s">
        <v>15</v>
      </c>
      <c r="M110" s="9" t="s">
        <v>15</v>
      </c>
      <c r="N110" s="9" t="s">
        <v>15</v>
      </c>
      <c r="O110" s="9" t="s">
        <v>15</v>
      </c>
    </row>
    <row r="111" spans="1:15" x14ac:dyDescent="0.25">
      <c r="A111" s="8">
        <v>111</v>
      </c>
      <c r="B111" s="9" t="str">
        <f t="shared" si="3"/>
        <v>DIODE,,,,NXP,PRTR5V0U2X,215,SOD143B</v>
      </c>
      <c r="C111" s="9" t="s">
        <v>15</v>
      </c>
      <c r="D111" s="9" t="s">
        <v>15</v>
      </c>
      <c r="E111" s="9" t="s">
        <v>15</v>
      </c>
      <c r="F111" s="9" t="s">
        <v>15</v>
      </c>
      <c r="G111" s="9" t="s">
        <v>15</v>
      </c>
      <c r="H111" s="9" t="s">
        <v>699</v>
      </c>
      <c r="I111" s="9" t="s">
        <v>1049</v>
      </c>
      <c r="J111" s="9" t="s">
        <v>1050</v>
      </c>
      <c r="K111" s="9" t="s">
        <v>1051</v>
      </c>
      <c r="L111" s="9" t="s">
        <v>15</v>
      </c>
      <c r="M111" s="9" t="s">
        <v>15</v>
      </c>
      <c r="N111" s="9" t="s">
        <v>15</v>
      </c>
      <c r="O111" s="9" t="s">
        <v>15</v>
      </c>
    </row>
    <row r="112" spans="1:15" x14ac:dyDescent="0.25">
      <c r="A112" s="8">
        <v>112</v>
      </c>
      <c r="B112" s="9" t="str">
        <f t="shared" si="3"/>
        <v>DIODE,,,,,MBR230LSFT1G,</v>
      </c>
      <c r="C112" s="9" t="s">
        <v>15</v>
      </c>
      <c r="D112" s="9" t="s">
        <v>15</v>
      </c>
      <c r="E112" s="9" t="s">
        <v>15</v>
      </c>
      <c r="F112" s="9" t="s">
        <v>15</v>
      </c>
      <c r="G112" s="9" t="s">
        <v>15</v>
      </c>
      <c r="H112" s="9" t="s">
        <v>15</v>
      </c>
      <c r="I112" s="9" t="s">
        <v>1045</v>
      </c>
      <c r="J112" s="9" t="s">
        <v>15</v>
      </c>
      <c r="K112" s="9" t="s">
        <v>1052</v>
      </c>
      <c r="L112" s="9" t="s">
        <v>15</v>
      </c>
      <c r="M112" s="9" t="s">
        <v>15</v>
      </c>
      <c r="N112" s="9" t="s">
        <v>15</v>
      </c>
      <c r="O112" s="9" t="s">
        <v>15</v>
      </c>
    </row>
    <row r="113" spans="1:15" x14ac:dyDescent="0.25">
      <c r="A113" s="8">
        <v>113</v>
      </c>
      <c r="B113" s="9" t="str">
        <f t="shared" si="3"/>
        <v>DIODE,,,,,BAT54S RFG,</v>
      </c>
      <c r="C113" s="9" t="s">
        <v>15</v>
      </c>
      <c r="D113" s="9" t="s">
        <v>15</v>
      </c>
      <c r="E113" s="9" t="s">
        <v>15</v>
      </c>
      <c r="F113" s="9" t="s">
        <v>15</v>
      </c>
      <c r="G113" s="9" t="s">
        <v>15</v>
      </c>
      <c r="H113" s="9" t="s">
        <v>15</v>
      </c>
      <c r="I113" s="9" t="s">
        <v>1053</v>
      </c>
      <c r="J113" s="9" t="s">
        <v>15</v>
      </c>
      <c r="K113" s="9" t="s">
        <v>1054</v>
      </c>
      <c r="L113" s="9" t="s">
        <v>15</v>
      </c>
      <c r="M113" s="9" t="s">
        <v>15</v>
      </c>
      <c r="N113" s="9" t="s">
        <v>15</v>
      </c>
      <c r="O113" s="9" t="s">
        <v>15</v>
      </c>
    </row>
    <row r="114" spans="1:15" x14ac:dyDescent="0.25">
      <c r="A114" s="8">
        <v>114</v>
      </c>
      <c r="B114" s="9" t="str">
        <f t="shared" si="3"/>
        <v>DIODE,,,,,CM1223-02SO,</v>
      </c>
      <c r="C114" s="9" t="s">
        <v>15</v>
      </c>
      <c r="D114" s="9" t="s">
        <v>15</v>
      </c>
      <c r="E114" s="9" t="s">
        <v>15</v>
      </c>
      <c r="F114" s="9" t="s">
        <v>15</v>
      </c>
      <c r="G114" s="9" t="s">
        <v>15</v>
      </c>
      <c r="H114" s="9" t="s">
        <v>15</v>
      </c>
      <c r="I114" s="9" t="s">
        <v>1055</v>
      </c>
      <c r="J114" s="9" t="s">
        <v>15</v>
      </c>
      <c r="K114" s="9" t="s">
        <v>1056</v>
      </c>
      <c r="L114" s="9" t="s">
        <v>15</v>
      </c>
      <c r="M114" s="9" t="s">
        <v>15</v>
      </c>
      <c r="N114" s="9" t="s">
        <v>15</v>
      </c>
      <c r="O114" s="9" t="s">
        <v>15</v>
      </c>
    </row>
    <row r="115" spans="1:15" x14ac:dyDescent="0.25">
      <c r="A115" s="8">
        <v>115</v>
      </c>
      <c r="B115" s="9" t="str">
        <f t="shared" si="3"/>
        <v>DIODE,,,,,MBRA160T3G,</v>
      </c>
      <c r="C115" s="9" t="s">
        <v>15</v>
      </c>
      <c r="D115" s="9" t="s">
        <v>15</v>
      </c>
      <c r="E115" s="9" t="s">
        <v>15</v>
      </c>
      <c r="F115" s="9" t="s">
        <v>15</v>
      </c>
      <c r="G115" s="9" t="s">
        <v>15</v>
      </c>
      <c r="H115" s="9" t="s">
        <v>15</v>
      </c>
      <c r="I115" s="9" t="s">
        <v>1057</v>
      </c>
      <c r="J115" s="9" t="s">
        <v>15</v>
      </c>
      <c r="K115" s="9" t="s">
        <v>1058</v>
      </c>
      <c r="L115" s="9" t="s">
        <v>15</v>
      </c>
      <c r="M115" s="9" t="s">
        <v>15</v>
      </c>
      <c r="N115" s="9" t="s">
        <v>15</v>
      </c>
      <c r="O115" s="9" t="s">
        <v>15</v>
      </c>
    </row>
    <row r="116" spans="1:15" x14ac:dyDescent="0.25">
      <c r="A116" s="8">
        <v>116</v>
      </c>
      <c r="B116" s="9" t="str">
        <f t="shared" si="3"/>
        <v>DIODE,,,,,BAT54S,SOT23</v>
      </c>
      <c r="C116" s="9" t="s">
        <v>15</v>
      </c>
      <c r="D116" s="9" t="s">
        <v>15</v>
      </c>
      <c r="E116" s="9" t="s">
        <v>15</v>
      </c>
      <c r="F116" s="9" t="s">
        <v>15</v>
      </c>
      <c r="G116" s="9" t="s">
        <v>15</v>
      </c>
      <c r="H116" s="9" t="s">
        <v>15</v>
      </c>
      <c r="I116" s="9" t="s">
        <v>1059</v>
      </c>
      <c r="J116" s="9" t="s">
        <v>693</v>
      </c>
      <c r="K116" s="9" t="s">
        <v>1060</v>
      </c>
      <c r="L116" s="9" t="s">
        <v>15</v>
      </c>
      <c r="M116" s="9" t="s">
        <v>15</v>
      </c>
      <c r="N116" s="9" t="s">
        <v>15</v>
      </c>
      <c r="O116" s="9" t="s">
        <v>15</v>
      </c>
    </row>
    <row r="117" spans="1:15" x14ac:dyDescent="0.25">
      <c r="A117" s="8">
        <v>117</v>
      </c>
      <c r="B117" s="9" t="str">
        <f t="shared" si="3"/>
        <v>DIODE,,,,,BAT20JFILM,</v>
      </c>
      <c r="C117" s="9" t="s">
        <v>15</v>
      </c>
      <c r="D117" s="9" t="s">
        <v>15</v>
      </c>
      <c r="E117" s="9" t="s">
        <v>15</v>
      </c>
      <c r="F117" s="9" t="s">
        <v>15</v>
      </c>
      <c r="G117" s="9" t="s">
        <v>15</v>
      </c>
      <c r="H117" s="9" t="s">
        <v>15</v>
      </c>
      <c r="I117" s="9" t="s">
        <v>1061</v>
      </c>
      <c r="J117" s="9" t="s">
        <v>15</v>
      </c>
      <c r="K117" s="9" t="s">
        <v>1062</v>
      </c>
      <c r="L117" s="9" t="s">
        <v>15</v>
      </c>
      <c r="M117" s="9" t="s">
        <v>15</v>
      </c>
      <c r="N117" s="9" t="s">
        <v>15</v>
      </c>
      <c r="O117" s="9" t="s">
        <v>15</v>
      </c>
    </row>
    <row r="118" spans="1:15" x14ac:dyDescent="0.25">
      <c r="A118" s="8">
        <v>118</v>
      </c>
      <c r="B118" s="9" t="str">
        <f t="shared" si="3"/>
        <v>DIODE,,,,HOTTECH,BAT54A,SOT23</v>
      </c>
      <c r="C118" s="9" t="s">
        <v>15</v>
      </c>
      <c r="D118" s="9" t="s">
        <v>15</v>
      </c>
      <c r="E118" s="9" t="s">
        <v>15</v>
      </c>
      <c r="F118" s="9" t="s">
        <v>15</v>
      </c>
      <c r="G118" s="9" t="s">
        <v>15</v>
      </c>
      <c r="H118" s="9" t="s">
        <v>1063</v>
      </c>
      <c r="I118" s="9" t="s">
        <v>1064</v>
      </c>
      <c r="J118" s="9" t="s">
        <v>693</v>
      </c>
      <c r="K118" s="9" t="s">
        <v>1065</v>
      </c>
      <c r="L118" s="9" t="s">
        <v>15</v>
      </c>
      <c r="M118" s="9" t="s">
        <v>15</v>
      </c>
      <c r="N118" s="9" t="s">
        <v>15</v>
      </c>
      <c r="O118" s="9" t="s">
        <v>15</v>
      </c>
    </row>
    <row r="119" spans="1:15" x14ac:dyDescent="0.25">
      <c r="A119" s="8">
        <v>119</v>
      </c>
      <c r="B119" s="9" t="str">
        <f t="shared" si="3"/>
        <v>DIODE,,,,HOTTECH,BAT54,</v>
      </c>
      <c r="C119" s="9" t="s">
        <v>15</v>
      </c>
      <c r="D119" s="9" t="s">
        <v>15</v>
      </c>
      <c r="E119" s="9" t="s">
        <v>15</v>
      </c>
      <c r="F119" s="9" t="s">
        <v>15</v>
      </c>
      <c r="G119" s="9" t="s">
        <v>15</v>
      </c>
      <c r="H119" s="9" t="s">
        <v>1063</v>
      </c>
      <c r="I119" s="9" t="s">
        <v>752</v>
      </c>
      <c r="J119" s="9" t="s">
        <v>15</v>
      </c>
      <c r="K119" s="9" t="s">
        <v>1066</v>
      </c>
      <c r="L119" s="9" t="s">
        <v>15</v>
      </c>
      <c r="M119" s="9" t="s">
        <v>15</v>
      </c>
      <c r="N119" s="9" t="s">
        <v>15</v>
      </c>
      <c r="O119" s="9" t="s">
        <v>15</v>
      </c>
    </row>
    <row r="120" spans="1:15" x14ac:dyDescent="0.25">
      <c r="A120" s="8">
        <v>120</v>
      </c>
      <c r="B120" s="9" t="str">
        <f t="shared" si="3"/>
        <v>DIODE,,,,DIODES INC,DLP05,</v>
      </c>
      <c r="C120" s="9" t="s">
        <v>15</v>
      </c>
      <c r="D120" s="9" t="s">
        <v>15</v>
      </c>
      <c r="E120" s="9" t="s">
        <v>15</v>
      </c>
      <c r="F120" s="9" t="s">
        <v>15</v>
      </c>
      <c r="G120" s="9" t="s">
        <v>15</v>
      </c>
      <c r="H120" s="9" t="s">
        <v>724</v>
      </c>
      <c r="I120" s="9" t="s">
        <v>1067</v>
      </c>
      <c r="J120" s="9" t="s">
        <v>15</v>
      </c>
      <c r="K120" s="9" t="s">
        <v>1068</v>
      </c>
      <c r="L120" s="9" t="s">
        <v>15</v>
      </c>
      <c r="M120" s="9" t="s">
        <v>15</v>
      </c>
      <c r="N120" s="9" t="s">
        <v>15</v>
      </c>
      <c r="O120" s="9" t="s">
        <v>15</v>
      </c>
    </row>
    <row r="121" spans="1:15" x14ac:dyDescent="0.25">
      <c r="A121" s="8">
        <v>121</v>
      </c>
      <c r="B121" s="9" t="str">
        <f t="shared" si="3"/>
        <v>DIODE,,,,GI,1N5402,</v>
      </c>
      <c r="C121" s="9" t="s">
        <v>15</v>
      </c>
      <c r="D121" s="9" t="s">
        <v>15</v>
      </c>
      <c r="E121" s="9" t="s">
        <v>15</v>
      </c>
      <c r="F121" s="9" t="s">
        <v>15</v>
      </c>
      <c r="G121" s="9"/>
      <c r="H121" s="9" t="s">
        <v>1037</v>
      </c>
      <c r="I121" s="9" t="s">
        <v>1069</v>
      </c>
      <c r="J121" s="9" t="s">
        <v>15</v>
      </c>
      <c r="K121" s="9" t="s">
        <v>1070</v>
      </c>
      <c r="L121" s="9" t="s">
        <v>15</v>
      </c>
      <c r="M121" s="9" t="s">
        <v>15</v>
      </c>
      <c r="N121" s="9" t="s">
        <v>15</v>
      </c>
      <c r="O121" s="9" t="s">
        <v>15</v>
      </c>
    </row>
    <row r="122" spans="1:15" x14ac:dyDescent="0.25">
      <c r="A122" s="8">
        <v>122</v>
      </c>
      <c r="B122" s="9" t="str">
        <f t="shared" si="3"/>
        <v>DIODE,,,,GI,1N5820,</v>
      </c>
      <c r="C122" s="9" t="s">
        <v>15</v>
      </c>
      <c r="D122" s="9" t="s">
        <v>15</v>
      </c>
      <c r="E122" s="9" t="s">
        <v>15</v>
      </c>
      <c r="F122" s="9" t="s">
        <v>15</v>
      </c>
      <c r="G122" s="9"/>
      <c r="H122" s="9" t="s">
        <v>1037</v>
      </c>
      <c r="I122" s="9" t="s">
        <v>1071</v>
      </c>
      <c r="J122" s="9" t="s">
        <v>15</v>
      </c>
      <c r="K122" s="9" t="s">
        <v>1072</v>
      </c>
      <c r="L122" s="9" t="s">
        <v>15</v>
      </c>
      <c r="M122" s="9" t="s">
        <v>15</v>
      </c>
      <c r="N122" s="9" t="s">
        <v>15</v>
      </c>
      <c r="O122" s="9" t="s">
        <v>15</v>
      </c>
    </row>
    <row r="123" spans="1:15" x14ac:dyDescent="0.25">
      <c r="A123" s="8">
        <v>123</v>
      </c>
      <c r="B123" s="9" t="str">
        <f t="shared" si="3"/>
        <v>DIODE,,,,TAITRON,T6A05L,</v>
      </c>
      <c r="C123" s="9" t="s">
        <v>15</v>
      </c>
      <c r="D123" s="9" t="s">
        <v>15</v>
      </c>
      <c r="E123" s="9" t="s">
        <v>15</v>
      </c>
      <c r="F123" s="9" t="s">
        <v>15</v>
      </c>
      <c r="G123" s="9"/>
      <c r="H123" s="9" t="s">
        <v>1073</v>
      </c>
      <c r="I123" s="9" t="s">
        <v>1074</v>
      </c>
      <c r="J123" s="9" t="s">
        <v>15</v>
      </c>
      <c r="K123" s="9" t="s">
        <v>1075</v>
      </c>
      <c r="L123" s="9" t="s">
        <v>15</v>
      </c>
      <c r="M123" s="9" t="s">
        <v>15</v>
      </c>
      <c r="N123" s="9" t="s">
        <v>15</v>
      </c>
      <c r="O123" s="9" t="s">
        <v>15</v>
      </c>
    </row>
    <row r="124" spans="1:15" x14ac:dyDescent="0.25">
      <c r="A124" s="8">
        <v>124</v>
      </c>
      <c r="B124" s="9" t="str">
        <f t="shared" si="3"/>
        <v>DIODE,,,,ON,1N5817,</v>
      </c>
      <c r="C124" s="9" t="s">
        <v>15</v>
      </c>
      <c r="D124" s="9" t="s">
        <v>15</v>
      </c>
      <c r="E124" s="9" t="s">
        <v>15</v>
      </c>
      <c r="F124" s="9" t="s">
        <v>15</v>
      </c>
      <c r="G124" s="9"/>
      <c r="H124" s="9" t="s">
        <v>1076</v>
      </c>
      <c r="I124" s="9" t="s">
        <v>1077</v>
      </c>
      <c r="J124" s="9" t="s">
        <v>15</v>
      </c>
      <c r="K124" s="9" t="s">
        <v>1078</v>
      </c>
      <c r="L124" s="9" t="s">
        <v>15</v>
      </c>
      <c r="M124" s="9" t="s">
        <v>15</v>
      </c>
      <c r="N124" s="9" t="s">
        <v>15</v>
      </c>
      <c r="O124" s="9" t="s">
        <v>15</v>
      </c>
    </row>
    <row r="125" spans="1:15" x14ac:dyDescent="0.25">
      <c r="A125" s="8">
        <v>125</v>
      </c>
      <c r="B125" s="9" t="str">
        <f t="shared" si="3"/>
        <v>DIODE,,,,ON,1N457A,</v>
      </c>
      <c r="C125" s="9" t="s">
        <v>15</v>
      </c>
      <c r="D125" s="9" t="s">
        <v>15</v>
      </c>
      <c r="E125" s="9" t="s">
        <v>15</v>
      </c>
      <c r="F125" s="9" t="s">
        <v>15</v>
      </c>
      <c r="G125" s="9"/>
      <c r="H125" s="9" t="s">
        <v>1076</v>
      </c>
      <c r="I125" s="9" t="s">
        <v>1079</v>
      </c>
      <c r="J125" s="9" t="s">
        <v>15</v>
      </c>
      <c r="K125" s="9" t="s">
        <v>1080</v>
      </c>
      <c r="L125" s="9" t="s">
        <v>15</v>
      </c>
      <c r="M125" s="9" t="s">
        <v>15</v>
      </c>
      <c r="N125" s="9" t="s">
        <v>15</v>
      </c>
      <c r="O125" s="9" t="s">
        <v>15</v>
      </c>
    </row>
    <row r="126" spans="1:15" x14ac:dyDescent="0.25">
      <c r="A126" s="8">
        <v>126</v>
      </c>
      <c r="B126" s="9" t="str">
        <f t="shared" si="3"/>
        <v>DIODE,,,,ST,STPS3045CP,TO247</v>
      </c>
      <c r="C126" s="9" t="s">
        <v>15</v>
      </c>
      <c r="D126" s="9" t="s">
        <v>15</v>
      </c>
      <c r="E126" s="9" t="s">
        <v>15</v>
      </c>
      <c r="F126" s="9" t="s">
        <v>15</v>
      </c>
      <c r="G126" s="9"/>
      <c r="H126" s="9" t="s">
        <v>807</v>
      </c>
      <c r="I126" s="9" t="s">
        <v>1081</v>
      </c>
      <c r="J126" s="9" t="s">
        <v>1082</v>
      </c>
      <c r="K126" s="9" t="s">
        <v>1083</v>
      </c>
      <c r="L126" s="9" t="s">
        <v>15</v>
      </c>
      <c r="M126" s="9" t="s">
        <v>15</v>
      </c>
      <c r="N126" s="9" t="s">
        <v>15</v>
      </c>
      <c r="O126" s="9" t="s">
        <v>15</v>
      </c>
    </row>
    <row r="127" spans="1:15" x14ac:dyDescent="0.25">
      <c r="A127" s="8">
        <v>127</v>
      </c>
      <c r="B127" s="9" t="str">
        <f t="shared" si="3"/>
        <v>DIODE,,,,,1N4148,GLASS</v>
      </c>
      <c r="C127" s="9" t="s">
        <v>15</v>
      </c>
      <c r="D127" s="9" t="s">
        <v>15</v>
      </c>
      <c r="E127" s="9" t="s">
        <v>15</v>
      </c>
      <c r="F127" s="9" t="s">
        <v>15</v>
      </c>
      <c r="G127" s="9"/>
      <c r="H127" s="9" t="s">
        <v>15</v>
      </c>
      <c r="I127" s="9" t="s">
        <v>737</v>
      </c>
      <c r="J127" s="9" t="s">
        <v>1084</v>
      </c>
      <c r="K127" s="9" t="s">
        <v>1085</v>
      </c>
      <c r="L127" s="9" t="s">
        <v>15</v>
      </c>
      <c r="M127" s="9" t="s">
        <v>15</v>
      </c>
      <c r="N127" s="9" t="s">
        <v>15</v>
      </c>
      <c r="O127" s="9" t="s">
        <v>15</v>
      </c>
    </row>
    <row r="128" spans="1:15" x14ac:dyDescent="0.25">
      <c r="A128" s="8">
        <v>128</v>
      </c>
      <c r="B128" s="9" t="str">
        <f t="shared" si="3"/>
        <v>DIODE,,,,MOTOROLA,1N4004,</v>
      </c>
      <c r="C128" s="9" t="s">
        <v>15</v>
      </c>
      <c r="D128" s="9" t="s">
        <v>15</v>
      </c>
      <c r="E128" s="9" t="s">
        <v>15</v>
      </c>
      <c r="F128" s="9" t="s">
        <v>15</v>
      </c>
      <c r="G128" s="9"/>
      <c r="H128" s="9" t="s">
        <v>1086</v>
      </c>
      <c r="I128" s="9" t="s">
        <v>899</v>
      </c>
      <c r="J128" s="9" t="s">
        <v>15</v>
      </c>
      <c r="K128" s="9" t="s">
        <v>1087</v>
      </c>
      <c r="L128" s="9" t="s">
        <v>15</v>
      </c>
      <c r="M128" s="9" t="s">
        <v>15</v>
      </c>
      <c r="N128" s="9" t="s">
        <v>15</v>
      </c>
      <c r="O128" s="9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FFFA-B993-4048-B149-034D94857EFF}">
  <dimension ref="A1:Q3"/>
  <sheetViews>
    <sheetView workbookViewId="0">
      <selection activeCell="E9" sqref="E9"/>
    </sheetView>
  </sheetViews>
  <sheetFormatPr defaultColWidth="21.42578125" defaultRowHeight="15" x14ac:dyDescent="0.25"/>
  <cols>
    <col min="1" max="1" width="10.7109375" style="3" bestFit="1" customWidth="1"/>
    <col min="2" max="2" width="60.140625" bestFit="1" customWidth="1"/>
    <col min="3" max="3" width="10.140625" style="3" bestFit="1" customWidth="1"/>
    <col min="4" max="4" width="11.42578125" style="3" bestFit="1" customWidth="1"/>
    <col min="5" max="5" width="12.140625" style="3" bestFit="1" customWidth="1"/>
    <col min="6" max="6" width="13.5703125" style="3" bestFit="1" customWidth="1"/>
    <col min="7" max="7" width="12.85546875" style="3" bestFit="1" customWidth="1"/>
    <col min="8" max="8" width="19.7109375" style="3" bestFit="1" customWidth="1"/>
    <col min="9" max="9" width="8.5703125" style="3" bestFit="1" customWidth="1"/>
    <col min="10" max="10" width="20.85546875" style="3" bestFit="1" customWidth="1"/>
    <col min="11" max="11" width="12" style="3" bestFit="1" customWidth="1"/>
    <col min="12" max="12" width="10.5703125" style="3" bestFit="1" customWidth="1"/>
    <col min="13" max="13" width="12" style="3" bestFit="1" customWidth="1"/>
    <col min="14" max="14" width="8" style="3" bestFit="1" customWidth="1"/>
    <col min="15" max="15" width="7.85546875" style="3" bestFit="1" customWidth="1"/>
    <col min="16" max="16" width="8.42578125" style="3" bestFit="1" customWidth="1"/>
    <col min="17" max="17" width="5.140625" style="3" bestFit="1" customWidth="1"/>
    <col min="18" max="16384" width="21.42578125" style="3"/>
  </cols>
  <sheetData>
    <row r="1" spans="1:17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14</v>
      </c>
      <c r="J1" s="33" t="s">
        <v>4014</v>
      </c>
      <c r="K1" s="28" t="s">
        <v>1088</v>
      </c>
      <c r="L1" s="28" t="s">
        <v>1089</v>
      </c>
      <c r="M1" s="33" t="s">
        <v>4030</v>
      </c>
      <c r="N1" s="27" t="s">
        <v>61</v>
      </c>
      <c r="O1" s="27" t="s">
        <v>1971</v>
      </c>
      <c r="P1" s="27" t="s">
        <v>1120</v>
      </c>
      <c r="Q1" s="27" t="s">
        <v>521</v>
      </c>
    </row>
    <row r="2" spans="1:17" x14ac:dyDescent="0.25">
      <c r="A2" s="46" t="s">
        <v>4224</v>
      </c>
      <c r="B2" s="48" t="str">
        <f>_xlfn.CONCAT("DISPLAY,",J2,",",G2,",",H2)</f>
        <v>DISPLAY,LCD,PASSIVE,8X14 SEG,VARITRONIX,VIM-878-DP-RC-S-LV</v>
      </c>
      <c r="C2" s="47" t="s">
        <v>15</v>
      </c>
      <c r="D2" s="47" t="s">
        <v>15</v>
      </c>
      <c r="E2" s="47" t="s">
        <v>15</v>
      </c>
      <c r="F2" s="47" t="s">
        <v>15</v>
      </c>
      <c r="G2" s="47" t="s">
        <v>1090</v>
      </c>
      <c r="H2" s="47" t="s">
        <v>1091</v>
      </c>
      <c r="I2" s="47" t="s">
        <v>1092</v>
      </c>
      <c r="J2" s="47" t="s">
        <v>4226</v>
      </c>
      <c r="K2" s="47" t="s">
        <v>1093</v>
      </c>
      <c r="L2" s="47" t="s">
        <v>1094</v>
      </c>
      <c r="M2" s="47" t="s">
        <v>15</v>
      </c>
    </row>
    <row r="3" spans="1:17" x14ac:dyDescent="0.25">
      <c r="A3" s="46" t="s">
        <v>4225</v>
      </c>
      <c r="B3" s="48" t="s">
        <v>15</v>
      </c>
      <c r="C3" s="47" t="s">
        <v>15</v>
      </c>
      <c r="D3" s="47" t="s">
        <v>15</v>
      </c>
      <c r="E3" s="47" t="s">
        <v>15</v>
      </c>
      <c r="F3" s="47" t="s">
        <v>15</v>
      </c>
      <c r="G3" s="47" t="s">
        <v>15</v>
      </c>
      <c r="H3" s="47" t="s">
        <v>15</v>
      </c>
      <c r="I3" s="47" t="s">
        <v>15</v>
      </c>
      <c r="J3" s="47" t="s">
        <v>15</v>
      </c>
      <c r="K3" s="47" t="s">
        <v>15</v>
      </c>
      <c r="L3" s="47" t="s">
        <v>15</v>
      </c>
      <c r="M3" s="47" t="s">
        <v>15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53AF-6A08-46F0-95CB-C5493B9B5B3C}">
  <dimension ref="A1:Q7"/>
  <sheetViews>
    <sheetView workbookViewId="0">
      <selection activeCell="N1" sqref="N1:Q1048576"/>
    </sheetView>
  </sheetViews>
  <sheetFormatPr defaultColWidth="33.42578125" defaultRowHeight="15" x14ac:dyDescent="0.25"/>
  <cols>
    <col min="1" max="1" width="8.85546875" style="3" bestFit="1" customWidth="1"/>
    <col min="2" max="2" width="30.7109375" bestFit="1" customWidth="1"/>
    <col min="3" max="3" width="10.140625" style="3" bestFit="1" customWidth="1"/>
    <col min="4" max="4" width="11.42578125" style="3" bestFit="1" customWidth="1"/>
    <col min="5" max="5" width="12.140625" style="3" bestFit="1" customWidth="1"/>
    <col min="6" max="6" width="13.5703125" style="3" bestFit="1" customWidth="1"/>
    <col min="7" max="7" width="16" style="3" bestFit="1" customWidth="1"/>
    <col min="8" max="8" width="12.85546875" style="3" bestFit="1" customWidth="1"/>
    <col min="9" max="9" width="19.7109375" style="3" bestFit="1" customWidth="1"/>
    <col min="10" max="10" width="10.140625" style="3" bestFit="1" customWidth="1"/>
    <col min="11" max="11" width="10.85546875" style="3" bestFit="1" customWidth="1"/>
    <col min="12" max="12" width="4.28515625" style="3" bestFit="1" customWidth="1"/>
    <col min="13" max="13" width="12.42578125" style="3" bestFit="1" customWidth="1"/>
    <col min="14" max="14" width="8" style="3" bestFit="1" customWidth="1"/>
    <col min="15" max="15" width="7.85546875" style="3" bestFit="1" customWidth="1"/>
    <col min="16" max="16" width="8.42578125" style="3" bestFit="1" customWidth="1"/>
    <col min="17" max="17" width="5.140625" style="3" bestFit="1" customWidth="1"/>
    <col min="18" max="16384" width="33.42578125" style="3"/>
  </cols>
  <sheetData>
    <row r="1" spans="1:17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33" t="s">
        <v>4014</v>
      </c>
      <c r="H1" s="28" t="s">
        <v>6</v>
      </c>
      <c r="I1" s="28" t="s">
        <v>7</v>
      </c>
      <c r="J1" s="28" t="s">
        <v>8</v>
      </c>
      <c r="K1" s="28" t="s">
        <v>1095</v>
      </c>
      <c r="L1" s="28" t="s">
        <v>1096</v>
      </c>
      <c r="M1" s="28" t="s">
        <v>14</v>
      </c>
      <c r="N1" s="27" t="s">
        <v>61</v>
      </c>
      <c r="O1" s="27" t="s">
        <v>1971</v>
      </c>
      <c r="P1" s="27" t="s">
        <v>1120</v>
      </c>
      <c r="Q1" s="27" t="s">
        <v>521</v>
      </c>
    </row>
    <row r="2" spans="1:17" x14ac:dyDescent="0.25">
      <c r="A2" s="43" t="s">
        <v>4227</v>
      </c>
      <c r="B2" s="45" t="str">
        <f>_xlfn.CONCAT("FERRITE BEAD,",K2,",",L2,",",J2)</f>
        <v>FERRITE BEAD,80Z,3A,1206</v>
      </c>
      <c r="C2" s="44" t="s">
        <v>15</v>
      </c>
      <c r="D2" s="44" t="s">
        <v>15</v>
      </c>
      <c r="E2" s="44" t="s">
        <v>15</v>
      </c>
      <c r="F2" s="44" t="s">
        <v>15</v>
      </c>
      <c r="G2" s="44"/>
      <c r="H2" s="44" t="s">
        <v>585</v>
      </c>
      <c r="I2" s="44" t="s">
        <v>1097</v>
      </c>
      <c r="J2" s="44" t="s">
        <v>89</v>
      </c>
      <c r="K2" s="44" t="s">
        <v>1098</v>
      </c>
      <c r="L2" s="44" t="s">
        <v>843</v>
      </c>
      <c r="M2" s="44" t="s">
        <v>1099</v>
      </c>
    </row>
    <row r="3" spans="1:17" x14ac:dyDescent="0.25">
      <c r="A3" s="43" t="s">
        <v>4228</v>
      </c>
      <c r="B3" s="45" t="str">
        <f t="shared" ref="B3:B7" si="0">_xlfn.CONCAT("FERRITE BEAD,",K3,",",L3,",",J3)</f>
        <v>FERRITE BEAD,CORE,--,DO41</v>
      </c>
      <c r="C3" s="44" t="s">
        <v>15</v>
      </c>
      <c r="D3" s="44" t="s">
        <v>15</v>
      </c>
      <c r="E3" s="44" t="s">
        <v>15</v>
      </c>
      <c r="F3" s="44" t="s">
        <v>15</v>
      </c>
      <c r="G3" s="44"/>
      <c r="H3" s="44" t="s">
        <v>1100</v>
      </c>
      <c r="I3" s="44" t="s">
        <v>15</v>
      </c>
      <c r="J3" s="44" t="s">
        <v>814</v>
      </c>
      <c r="K3" s="44" t="s">
        <v>4233</v>
      </c>
      <c r="L3" s="44" t="s">
        <v>4234</v>
      </c>
      <c r="M3" s="44" t="s">
        <v>1101</v>
      </c>
    </row>
    <row r="4" spans="1:17" x14ac:dyDescent="0.25">
      <c r="A4" s="43" t="s">
        <v>4229</v>
      </c>
      <c r="B4" s="45" t="str">
        <f t="shared" si="0"/>
        <v>FERRITE BEAD,CORE,--,PIGSNOUT</v>
      </c>
      <c r="C4" s="44" t="s">
        <v>15</v>
      </c>
      <c r="D4" s="44" t="s">
        <v>15</v>
      </c>
      <c r="E4" s="44" t="s">
        <v>15</v>
      </c>
      <c r="F4" s="44" t="s">
        <v>15</v>
      </c>
      <c r="G4" s="44"/>
      <c r="H4" s="44" t="s">
        <v>1100</v>
      </c>
      <c r="I4" s="44" t="s">
        <v>1102</v>
      </c>
      <c r="J4" s="44" t="s">
        <v>1103</v>
      </c>
      <c r="K4" s="44" t="s">
        <v>4233</v>
      </c>
      <c r="L4" s="44" t="s">
        <v>4234</v>
      </c>
      <c r="M4" s="44" t="s">
        <v>1104</v>
      </c>
    </row>
    <row r="5" spans="1:17" x14ac:dyDescent="0.25">
      <c r="A5" s="43" t="s">
        <v>4230</v>
      </c>
      <c r="B5" s="45" t="str">
        <f t="shared" si="0"/>
        <v>FERRITE BEAD,CORE,--,CYLINDER</v>
      </c>
      <c r="C5" s="44" t="s">
        <v>15</v>
      </c>
      <c r="D5" s="44" t="s">
        <v>15</v>
      </c>
      <c r="E5" s="44" t="s">
        <v>15</v>
      </c>
      <c r="F5" s="44" t="s">
        <v>15</v>
      </c>
      <c r="G5" s="44"/>
      <c r="H5" s="44" t="s">
        <v>1100</v>
      </c>
      <c r="I5" s="44" t="s">
        <v>1105</v>
      </c>
      <c r="J5" s="44" t="s">
        <v>1106</v>
      </c>
      <c r="K5" s="44" t="s">
        <v>4233</v>
      </c>
      <c r="L5" s="44" t="s">
        <v>4234</v>
      </c>
      <c r="M5" s="44" t="s">
        <v>1104</v>
      </c>
    </row>
    <row r="6" spans="1:17" x14ac:dyDescent="0.25">
      <c r="A6" s="43" t="s">
        <v>4231</v>
      </c>
      <c r="B6" s="45" t="str">
        <f t="shared" si="0"/>
        <v>FERRITE BEAD,CORE,--,CYLINDER</v>
      </c>
      <c r="C6" s="44" t="s">
        <v>15</v>
      </c>
      <c r="D6" s="44" t="s">
        <v>15</v>
      </c>
      <c r="E6" s="44" t="s">
        <v>15</v>
      </c>
      <c r="F6" s="44" t="s">
        <v>15</v>
      </c>
      <c r="G6" s="44"/>
      <c r="H6" s="44" t="s">
        <v>1100</v>
      </c>
      <c r="I6" s="44" t="s">
        <v>1107</v>
      </c>
      <c r="J6" s="44" t="s">
        <v>1106</v>
      </c>
      <c r="K6" s="44" t="s">
        <v>4233</v>
      </c>
      <c r="L6" s="44" t="s">
        <v>4234</v>
      </c>
      <c r="M6" s="44" t="s">
        <v>1104</v>
      </c>
    </row>
    <row r="7" spans="1:17" x14ac:dyDescent="0.25">
      <c r="A7" s="43" t="s">
        <v>4232</v>
      </c>
      <c r="B7" s="45" t="str">
        <f t="shared" si="0"/>
        <v>FERRITE BEAD,CORE,--,CYLINDER</v>
      </c>
      <c r="C7" s="44" t="s">
        <v>15</v>
      </c>
      <c r="D7" s="44" t="s">
        <v>15</v>
      </c>
      <c r="E7" s="44" t="s">
        <v>15</v>
      </c>
      <c r="F7" s="44" t="s">
        <v>15</v>
      </c>
      <c r="G7" s="44"/>
      <c r="H7" s="44" t="s">
        <v>1100</v>
      </c>
      <c r="I7" s="44" t="s">
        <v>1108</v>
      </c>
      <c r="J7" s="44" t="s">
        <v>1106</v>
      </c>
      <c r="K7" s="44" t="s">
        <v>4233</v>
      </c>
      <c r="L7" s="44" t="s">
        <v>4234</v>
      </c>
      <c r="M7" s="44" t="s">
        <v>1109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88C4-95D9-41C8-B71D-0BB6B22FA161}">
  <dimension ref="A1:Q20"/>
  <sheetViews>
    <sheetView workbookViewId="0">
      <selection activeCell="N1" sqref="N1:Q1"/>
    </sheetView>
  </sheetViews>
  <sheetFormatPr defaultColWidth="86.85546875" defaultRowHeight="15" x14ac:dyDescent="0.25"/>
  <cols>
    <col min="1" max="1" width="10" style="3" bestFit="1" customWidth="1"/>
    <col min="2" max="2" width="31.85546875" customWidth="1"/>
    <col min="3" max="3" width="10.140625" style="3" bestFit="1" customWidth="1"/>
    <col min="4" max="4" width="11.42578125" style="3" bestFit="1" customWidth="1"/>
    <col min="5" max="5" width="12.140625" style="3" bestFit="1" customWidth="1"/>
    <col min="6" max="6" width="13.5703125" style="3" bestFit="1" customWidth="1"/>
    <col min="7" max="7" width="18.140625" style="3" customWidth="1"/>
    <col min="8" max="8" width="12.85546875" style="3" bestFit="1" customWidth="1"/>
    <col min="9" max="9" width="19.7109375" style="3" bestFit="1" customWidth="1"/>
    <col min="10" max="10" width="8.42578125" style="3" bestFit="1" customWidth="1"/>
    <col min="11" max="11" width="58.140625" style="3" bestFit="1" customWidth="1"/>
    <col min="12" max="12" width="7.42578125" style="3" bestFit="1" customWidth="1"/>
    <col min="13" max="13" width="13.140625" style="3" bestFit="1" customWidth="1"/>
    <col min="14" max="14" width="8" style="3" bestFit="1" customWidth="1"/>
    <col min="15" max="15" width="7.85546875" style="3" bestFit="1" customWidth="1"/>
    <col min="16" max="16" width="13.42578125" style="3" bestFit="1" customWidth="1"/>
    <col min="17" max="17" width="5.140625" style="3" bestFit="1" customWidth="1"/>
    <col min="18" max="16384" width="86.85546875" style="3"/>
  </cols>
  <sheetData>
    <row r="1" spans="1:17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4014</v>
      </c>
      <c r="H1" s="28" t="s">
        <v>6</v>
      </c>
      <c r="I1" s="28" t="s">
        <v>7</v>
      </c>
      <c r="J1" s="28" t="s">
        <v>8</v>
      </c>
      <c r="K1" s="28" t="s">
        <v>14</v>
      </c>
      <c r="L1" s="28" t="s">
        <v>1110</v>
      </c>
      <c r="M1" s="28" t="s">
        <v>30</v>
      </c>
      <c r="N1" s="27" t="s">
        <v>61</v>
      </c>
      <c r="O1" s="27" t="s">
        <v>1971</v>
      </c>
      <c r="P1" s="27" t="s">
        <v>1120</v>
      </c>
      <c r="Q1" s="27" t="s">
        <v>521</v>
      </c>
    </row>
    <row r="2" spans="1:17" x14ac:dyDescent="0.25">
      <c r="A2" s="49" t="s">
        <v>3926</v>
      </c>
      <c r="B2" s="51" t="str">
        <f>_xlfn.CONCAT("FUSE,",G2,",",L2)</f>
        <v>FUSE,SOCKETED,SMD,1A</v>
      </c>
      <c r="C2" s="50" t="s">
        <v>15</v>
      </c>
      <c r="D2" s="50" t="s">
        <v>15</v>
      </c>
      <c r="E2" s="50" t="s">
        <v>15</v>
      </c>
      <c r="F2" s="50" t="s">
        <v>15</v>
      </c>
      <c r="G2" s="50" t="s">
        <v>4239</v>
      </c>
      <c r="H2" s="50" t="s">
        <v>947</v>
      </c>
      <c r="I2" s="50" t="s">
        <v>757</v>
      </c>
      <c r="J2" s="50" t="s">
        <v>15</v>
      </c>
      <c r="K2" s="50" t="s">
        <v>1111</v>
      </c>
      <c r="L2" s="50" t="s">
        <v>757</v>
      </c>
      <c r="M2" s="50" t="s">
        <v>15</v>
      </c>
    </row>
    <row r="3" spans="1:17" x14ac:dyDescent="0.25">
      <c r="A3" s="49" t="s">
        <v>3927</v>
      </c>
      <c r="B3" s="51" t="str">
        <f t="shared" ref="B3:B20" si="0">_xlfn.CONCAT("FUSE,",G3,",",L3)</f>
        <v>FUSE,ROUND,TH,315ma</v>
      </c>
      <c r="C3" s="50" t="s">
        <v>15</v>
      </c>
      <c r="D3" s="50" t="s">
        <v>15</v>
      </c>
      <c r="E3" s="50" t="s">
        <v>15</v>
      </c>
      <c r="F3" s="50" t="s">
        <v>15</v>
      </c>
      <c r="G3" s="50" t="s">
        <v>4240</v>
      </c>
      <c r="H3" s="50" t="s">
        <v>1112</v>
      </c>
      <c r="I3" s="50" t="s">
        <v>1113</v>
      </c>
      <c r="J3" s="50" t="s">
        <v>15</v>
      </c>
      <c r="K3" s="50" t="s">
        <v>1114</v>
      </c>
      <c r="L3" s="50" t="s">
        <v>4236</v>
      </c>
      <c r="M3" s="50" t="s">
        <v>15</v>
      </c>
    </row>
    <row r="4" spans="1:17" x14ac:dyDescent="0.25">
      <c r="A4" s="49" t="s">
        <v>3928</v>
      </c>
      <c r="B4" s="51" t="str">
        <f t="shared" si="0"/>
        <v>FUSE,PTC,RESETTABLE,550mA</v>
      </c>
      <c r="C4" s="50" t="s">
        <v>15</v>
      </c>
      <c r="D4" s="50" t="s">
        <v>15</v>
      </c>
      <c r="E4" s="50" t="s">
        <v>15</v>
      </c>
      <c r="F4" s="50" t="s">
        <v>15</v>
      </c>
      <c r="G4" s="50" t="s">
        <v>4242</v>
      </c>
      <c r="H4" s="50" t="s">
        <v>2846</v>
      </c>
      <c r="I4" s="50" t="s">
        <v>1115</v>
      </c>
      <c r="J4" s="50" t="s">
        <v>15</v>
      </c>
      <c r="K4" s="50" t="s">
        <v>1116</v>
      </c>
      <c r="L4" s="50" t="s">
        <v>4241</v>
      </c>
      <c r="M4" s="50" t="s">
        <v>15</v>
      </c>
    </row>
    <row r="5" spans="1:17" x14ac:dyDescent="0.25">
      <c r="A5" s="49" t="s">
        <v>3929</v>
      </c>
      <c r="B5" s="51" t="str">
        <f t="shared" si="0"/>
        <v>FUSE,ROUND,TH,0.25A</v>
      </c>
      <c r="C5" s="50" t="s">
        <v>15</v>
      </c>
      <c r="D5" s="50" t="s">
        <v>15</v>
      </c>
      <c r="E5" s="50" t="s">
        <v>15</v>
      </c>
      <c r="F5" s="50" t="s">
        <v>15</v>
      </c>
      <c r="G5" s="50" t="s">
        <v>4240</v>
      </c>
      <c r="H5" s="50" t="s">
        <v>1117</v>
      </c>
      <c r="I5" s="50" t="s">
        <v>1118</v>
      </c>
      <c r="J5" s="50" t="s">
        <v>15</v>
      </c>
      <c r="K5" s="50" t="s">
        <v>1119</v>
      </c>
      <c r="L5" s="50" t="s">
        <v>851</v>
      </c>
      <c r="M5" s="50" t="s">
        <v>15</v>
      </c>
      <c r="P5" s="50" t="s">
        <v>1121</v>
      </c>
    </row>
    <row r="6" spans="1:17" x14ac:dyDescent="0.25">
      <c r="A6" s="49" t="s">
        <v>3930</v>
      </c>
      <c r="B6" s="51" t="str">
        <f t="shared" si="0"/>
        <v>FUSE,PICOFUSE,WIRED,0.5A</v>
      </c>
      <c r="C6" s="50" t="s">
        <v>15</v>
      </c>
      <c r="D6" s="50" t="s">
        <v>15</v>
      </c>
      <c r="E6" s="50" t="s">
        <v>15</v>
      </c>
      <c r="F6" s="50" t="s">
        <v>15</v>
      </c>
      <c r="G6" s="50" t="s">
        <v>4238</v>
      </c>
      <c r="H6" s="50" t="s">
        <v>947</v>
      </c>
      <c r="I6" s="50" t="s">
        <v>1122</v>
      </c>
      <c r="J6" s="50" t="s">
        <v>15</v>
      </c>
      <c r="K6" s="50" t="s">
        <v>1123</v>
      </c>
      <c r="L6" s="50" t="s">
        <v>689</v>
      </c>
      <c r="M6" s="50" t="s">
        <v>15</v>
      </c>
    </row>
    <row r="7" spans="1:17" x14ac:dyDescent="0.25">
      <c r="A7" s="49" t="s">
        <v>3931</v>
      </c>
      <c r="B7" s="51" t="str">
        <f t="shared" si="0"/>
        <v>FUSE,PICOFUSE,WIRED,1A</v>
      </c>
      <c r="C7" s="50" t="s">
        <v>15</v>
      </c>
      <c r="D7" s="50" t="s">
        <v>15</v>
      </c>
      <c r="E7" s="50" t="s">
        <v>15</v>
      </c>
      <c r="F7" s="50" t="s">
        <v>15</v>
      </c>
      <c r="G7" s="50" t="s">
        <v>4238</v>
      </c>
      <c r="H7" s="50" t="s">
        <v>947</v>
      </c>
      <c r="I7" s="50" t="s">
        <v>1124</v>
      </c>
      <c r="J7" s="50" t="s">
        <v>15</v>
      </c>
      <c r="K7" s="50" t="s">
        <v>1125</v>
      </c>
      <c r="L7" s="50" t="s">
        <v>757</v>
      </c>
      <c r="M7" s="50" t="s">
        <v>15</v>
      </c>
    </row>
    <row r="8" spans="1:17" x14ac:dyDescent="0.25">
      <c r="A8" s="49" t="s">
        <v>3932</v>
      </c>
      <c r="B8" s="51" t="str">
        <f t="shared" si="0"/>
        <v>FUSE,PICOFUSE,WIRED,1A</v>
      </c>
      <c r="C8" s="50" t="s">
        <v>15</v>
      </c>
      <c r="D8" s="50" t="s">
        <v>15</v>
      </c>
      <c r="E8" s="50" t="s">
        <v>15</v>
      </c>
      <c r="F8" s="50" t="s">
        <v>15</v>
      </c>
      <c r="G8" s="50" t="s">
        <v>4238</v>
      </c>
      <c r="H8" s="50" t="s">
        <v>947</v>
      </c>
      <c r="I8" s="50" t="s">
        <v>1126</v>
      </c>
      <c r="J8" s="50" t="s">
        <v>15</v>
      </c>
      <c r="K8" s="50" t="s">
        <v>1127</v>
      </c>
      <c r="L8" s="50" t="s">
        <v>757</v>
      </c>
      <c r="M8" s="50" t="s">
        <v>15</v>
      </c>
    </row>
    <row r="9" spans="1:17" x14ac:dyDescent="0.25">
      <c r="A9" s="49" t="s">
        <v>3933</v>
      </c>
      <c r="B9" s="51" t="str">
        <f t="shared" si="0"/>
        <v>FUSE,PICOFUSE,WIRED,5A</v>
      </c>
      <c r="C9" s="50" t="s">
        <v>15</v>
      </c>
      <c r="D9" s="50" t="s">
        <v>15</v>
      </c>
      <c r="E9" s="50" t="s">
        <v>15</v>
      </c>
      <c r="F9" s="50" t="s">
        <v>15</v>
      </c>
      <c r="G9" s="50" t="s">
        <v>4238</v>
      </c>
      <c r="H9" s="50" t="s">
        <v>947</v>
      </c>
      <c r="I9" s="50" t="s">
        <v>1126</v>
      </c>
      <c r="J9" s="50" t="s">
        <v>15</v>
      </c>
      <c r="K9" s="50" t="s">
        <v>1128</v>
      </c>
      <c r="L9" s="50" t="s">
        <v>950</v>
      </c>
      <c r="M9" s="50" t="s">
        <v>15</v>
      </c>
    </row>
    <row r="10" spans="1:17" x14ac:dyDescent="0.25">
      <c r="A10" s="49" t="s">
        <v>3934</v>
      </c>
      <c r="B10" s="51" t="str">
        <f t="shared" si="0"/>
        <v>FUSE,PICOFUSE,WIRED,1A</v>
      </c>
      <c r="C10" s="50" t="s">
        <v>15</v>
      </c>
      <c r="D10" s="50" t="s">
        <v>15</v>
      </c>
      <c r="E10" s="50" t="s">
        <v>15</v>
      </c>
      <c r="F10" s="50" t="s">
        <v>15</v>
      </c>
      <c r="G10" s="50" t="s">
        <v>4238</v>
      </c>
      <c r="H10" s="50" t="s">
        <v>947</v>
      </c>
      <c r="I10" s="50" t="s">
        <v>1126</v>
      </c>
      <c r="J10" s="50" t="s">
        <v>15</v>
      </c>
      <c r="K10" s="50" t="s">
        <v>1129</v>
      </c>
      <c r="L10" s="50" t="s">
        <v>757</v>
      </c>
      <c r="M10" s="50" t="s">
        <v>15</v>
      </c>
    </row>
    <row r="11" spans="1:17" x14ac:dyDescent="0.25">
      <c r="A11" s="49" t="s">
        <v>3935</v>
      </c>
      <c r="B11" s="51" t="str">
        <f t="shared" si="0"/>
        <v>FUSE,PICOFUSE,WIRED,2A</v>
      </c>
      <c r="C11" s="50" t="s">
        <v>15</v>
      </c>
      <c r="D11" s="50" t="s">
        <v>15</v>
      </c>
      <c r="E11" s="50" t="s">
        <v>15</v>
      </c>
      <c r="F11" s="50" t="s">
        <v>15</v>
      </c>
      <c r="G11" s="50" t="s">
        <v>4238</v>
      </c>
      <c r="H11" s="50" t="s">
        <v>947</v>
      </c>
      <c r="I11" s="50" t="s">
        <v>1126</v>
      </c>
      <c r="J11" s="50" t="s">
        <v>15</v>
      </c>
      <c r="K11" s="50" t="s">
        <v>1129</v>
      </c>
      <c r="L11" s="50" t="s">
        <v>848</v>
      </c>
      <c r="M11" s="50" t="s">
        <v>15</v>
      </c>
    </row>
    <row r="12" spans="1:17" x14ac:dyDescent="0.25">
      <c r="A12" s="49" t="s">
        <v>3936</v>
      </c>
      <c r="B12" s="51" t="str">
        <f t="shared" si="0"/>
        <v>FUSE,PICOFUSE,WIRED,3A</v>
      </c>
      <c r="C12" s="50" t="s">
        <v>15</v>
      </c>
      <c r="D12" s="50" t="s">
        <v>15</v>
      </c>
      <c r="E12" s="50" t="s">
        <v>15</v>
      </c>
      <c r="F12" s="50" t="s">
        <v>15</v>
      </c>
      <c r="G12" s="50" t="s">
        <v>4238</v>
      </c>
      <c r="H12" s="50" t="s">
        <v>947</v>
      </c>
      <c r="I12" s="50" t="s">
        <v>1126</v>
      </c>
      <c r="J12" s="50" t="s">
        <v>15</v>
      </c>
      <c r="K12" s="50" t="s">
        <v>1129</v>
      </c>
      <c r="L12" s="50" t="s">
        <v>843</v>
      </c>
      <c r="M12" s="50" t="s">
        <v>15</v>
      </c>
    </row>
    <row r="13" spans="1:17" x14ac:dyDescent="0.25">
      <c r="A13" s="49" t="s">
        <v>3937</v>
      </c>
      <c r="B13" s="51" t="str">
        <f t="shared" si="0"/>
        <v>FUSE,PICOFUSE,WIRED,4A</v>
      </c>
      <c r="C13" s="50" t="s">
        <v>15</v>
      </c>
      <c r="D13" s="50" t="s">
        <v>15</v>
      </c>
      <c r="E13" s="50" t="s">
        <v>15</v>
      </c>
      <c r="F13" s="50" t="s">
        <v>15</v>
      </c>
      <c r="G13" s="50" t="s">
        <v>4238</v>
      </c>
      <c r="H13" s="50" t="s">
        <v>947</v>
      </c>
      <c r="I13" s="50" t="s">
        <v>1126</v>
      </c>
      <c r="J13" s="50" t="s">
        <v>15</v>
      </c>
      <c r="K13" s="50" t="s">
        <v>1129</v>
      </c>
      <c r="L13" s="50" t="s">
        <v>736</v>
      </c>
      <c r="M13" s="50" t="s">
        <v>15</v>
      </c>
    </row>
    <row r="14" spans="1:17" x14ac:dyDescent="0.25">
      <c r="A14" s="49" t="s">
        <v>3938</v>
      </c>
      <c r="B14" s="51" t="str">
        <f t="shared" si="0"/>
        <v>FUSE,PICOFUSE,WIRED,5A</v>
      </c>
      <c r="C14" s="50" t="s">
        <v>15</v>
      </c>
      <c r="D14" s="50" t="s">
        <v>15</v>
      </c>
      <c r="E14" s="50" t="s">
        <v>15</v>
      </c>
      <c r="F14" s="50" t="s">
        <v>15</v>
      </c>
      <c r="G14" s="50" t="s">
        <v>4238</v>
      </c>
      <c r="H14" s="50" t="s">
        <v>947</v>
      </c>
      <c r="I14" s="50" t="s">
        <v>1126</v>
      </c>
      <c r="J14" s="50" t="s">
        <v>15</v>
      </c>
      <c r="K14" s="50" t="s">
        <v>1129</v>
      </c>
      <c r="L14" s="50" t="s">
        <v>950</v>
      </c>
      <c r="M14" s="50" t="s">
        <v>15</v>
      </c>
    </row>
    <row r="15" spans="1:17" x14ac:dyDescent="0.25">
      <c r="A15" s="49" t="s">
        <v>3939</v>
      </c>
      <c r="B15" s="51" t="str">
        <f t="shared" si="0"/>
        <v>FUSE,PTC,RESETTABLE,90mA</v>
      </c>
      <c r="C15" s="50" t="s">
        <v>15</v>
      </c>
      <c r="D15" s="50" t="s">
        <v>15</v>
      </c>
      <c r="E15" s="50" t="s">
        <v>15</v>
      </c>
      <c r="F15" s="50" t="s">
        <v>15</v>
      </c>
      <c r="G15" s="50" t="s">
        <v>4242</v>
      </c>
      <c r="H15" s="50" t="s">
        <v>252</v>
      </c>
      <c r="I15" s="50" t="s">
        <v>1130</v>
      </c>
      <c r="J15" s="50" t="s">
        <v>15</v>
      </c>
      <c r="K15" s="50" t="s">
        <v>1131</v>
      </c>
      <c r="L15" s="50" t="s">
        <v>4235</v>
      </c>
      <c r="M15" s="50" t="s">
        <v>15</v>
      </c>
    </row>
    <row r="16" spans="1:17" x14ac:dyDescent="0.25">
      <c r="A16" s="49" t="s">
        <v>3940</v>
      </c>
      <c r="B16" s="51" t="str">
        <f t="shared" si="0"/>
        <v>FUSE,PTC,RESETTABLE,350mA</v>
      </c>
      <c r="C16" s="50" t="s">
        <v>15</v>
      </c>
      <c r="D16" s="50" t="s">
        <v>15</v>
      </c>
      <c r="E16" s="50" t="s">
        <v>15</v>
      </c>
      <c r="F16" s="50" t="s">
        <v>15</v>
      </c>
      <c r="G16" s="50" t="s">
        <v>4242</v>
      </c>
      <c r="H16" s="50" t="s">
        <v>947</v>
      </c>
      <c r="I16" s="50" t="s">
        <v>1132</v>
      </c>
      <c r="J16" s="50" t="s">
        <v>47</v>
      </c>
      <c r="K16" s="50" t="s">
        <v>1133</v>
      </c>
      <c r="L16" s="50" t="s">
        <v>4243</v>
      </c>
      <c r="M16" s="50" t="s">
        <v>15</v>
      </c>
    </row>
    <row r="17" spans="1:13" x14ac:dyDescent="0.25">
      <c r="A17" s="49" t="s">
        <v>3941</v>
      </c>
      <c r="B17" s="51" t="str">
        <f t="shared" si="0"/>
        <v>FUSE,PTC,RESETTABLE,50mA</v>
      </c>
      <c r="C17" s="50" t="s">
        <v>15</v>
      </c>
      <c r="D17" s="50" t="s">
        <v>15</v>
      </c>
      <c r="E17" s="50" t="s">
        <v>15</v>
      </c>
      <c r="F17" s="50" t="s">
        <v>15</v>
      </c>
      <c r="G17" s="50" t="s">
        <v>4242</v>
      </c>
      <c r="H17" s="50" t="s">
        <v>1134</v>
      </c>
      <c r="I17" s="50" t="s">
        <v>1135</v>
      </c>
      <c r="J17" s="50" t="s">
        <v>74</v>
      </c>
      <c r="K17" s="50" t="s">
        <v>1136</v>
      </c>
      <c r="L17" s="50" t="s">
        <v>1137</v>
      </c>
      <c r="M17" s="50" t="s">
        <v>15</v>
      </c>
    </row>
    <row r="18" spans="1:13" x14ac:dyDescent="0.25">
      <c r="A18" s="49" t="s">
        <v>3942</v>
      </c>
      <c r="B18" s="51" t="str">
        <f t="shared" si="0"/>
        <v>FUSE,PTC,RESETTABLE,54mA</v>
      </c>
      <c r="C18" s="50" t="s">
        <v>15</v>
      </c>
      <c r="D18" s="50" t="s">
        <v>15</v>
      </c>
      <c r="E18" s="50" t="s">
        <v>15</v>
      </c>
      <c r="F18" s="50" t="s">
        <v>15</v>
      </c>
      <c r="G18" s="50" t="s">
        <v>4242</v>
      </c>
      <c r="H18" s="50" t="s">
        <v>4244</v>
      </c>
      <c r="I18" s="50" t="s">
        <v>1138</v>
      </c>
      <c r="J18" s="50" t="s">
        <v>15</v>
      </c>
      <c r="K18" s="50" t="s">
        <v>1139</v>
      </c>
      <c r="L18" s="50" t="s">
        <v>4245</v>
      </c>
      <c r="M18" s="50" t="s">
        <v>15</v>
      </c>
    </row>
    <row r="19" spans="1:13" x14ac:dyDescent="0.25">
      <c r="A19" s="49" t="s">
        <v>3943</v>
      </c>
      <c r="B19" s="51" t="str">
        <f t="shared" si="0"/>
        <v>FUSE,CARTRIDGE,FLUKE,15A</v>
      </c>
      <c r="C19" s="50" t="s">
        <v>15</v>
      </c>
      <c r="D19" s="50" t="s">
        <v>15</v>
      </c>
      <c r="E19" s="50" t="s">
        <v>15</v>
      </c>
      <c r="F19" s="50" t="s">
        <v>15</v>
      </c>
      <c r="G19" s="50" t="s">
        <v>4246</v>
      </c>
      <c r="H19" s="50" t="s">
        <v>1112</v>
      </c>
      <c r="I19" s="50" t="s">
        <v>1140</v>
      </c>
      <c r="J19" s="50" t="s">
        <v>15</v>
      </c>
      <c r="K19" s="50" t="s">
        <v>1141</v>
      </c>
      <c r="L19" s="50" t="s">
        <v>942</v>
      </c>
      <c r="M19" s="50" t="s">
        <v>15</v>
      </c>
    </row>
    <row r="20" spans="1:13" x14ac:dyDescent="0.25">
      <c r="A20" s="49" t="s">
        <v>3944</v>
      </c>
      <c r="B20" s="51" t="str">
        <f t="shared" si="0"/>
        <v>FUSE,PIGTAIL,500mA</v>
      </c>
      <c r="C20" s="50" t="s">
        <v>15</v>
      </c>
      <c r="D20" s="50" t="s">
        <v>15</v>
      </c>
      <c r="E20" s="50" t="s">
        <v>15</v>
      </c>
      <c r="F20" s="50" t="s">
        <v>15</v>
      </c>
      <c r="G20" s="50" t="s">
        <v>4247</v>
      </c>
      <c r="H20" s="50" t="s">
        <v>947</v>
      </c>
      <c r="I20" s="50" t="s">
        <v>1142</v>
      </c>
      <c r="J20" s="50" t="s">
        <v>15</v>
      </c>
      <c r="K20" s="50" t="s">
        <v>1143</v>
      </c>
      <c r="L20" s="50" t="s">
        <v>4237</v>
      </c>
      <c r="M20" s="50" t="s">
        <v>15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1D9A-D3F2-4823-BE2D-8C0300B1236D}">
  <dimension ref="A1:S700"/>
  <sheetViews>
    <sheetView workbookViewId="0">
      <selection activeCell="P1" sqref="P1:S1"/>
    </sheetView>
  </sheetViews>
  <sheetFormatPr defaultColWidth="65.42578125" defaultRowHeight="15" x14ac:dyDescent="0.25"/>
  <cols>
    <col min="1" max="1" width="8.42578125" style="3" bestFit="1" customWidth="1"/>
    <col min="2" max="2" width="59" bestFit="1" customWidth="1"/>
    <col min="3" max="3" width="10.140625" style="3" bestFit="1" customWidth="1"/>
    <col min="4" max="4" width="11.42578125" style="3" bestFit="1" customWidth="1"/>
    <col min="5" max="5" width="16.5703125" style="3" bestFit="1" customWidth="1"/>
    <col min="6" max="6" width="13.5703125" style="3" bestFit="1" customWidth="1"/>
    <col min="7" max="7" width="34.42578125" style="3" bestFit="1" customWidth="1"/>
    <col min="8" max="8" width="21.5703125" style="3" bestFit="1" customWidth="1"/>
    <col min="9" max="9" width="24.85546875" style="3" bestFit="1" customWidth="1"/>
    <col min="10" max="10" width="31.28515625" style="3" bestFit="1" customWidth="1"/>
    <col min="11" max="11" width="65.28515625" style="3" bestFit="1" customWidth="1"/>
    <col min="12" max="12" width="8.7109375" style="3" bestFit="1" customWidth="1"/>
    <col min="13" max="13" width="17.85546875" style="3" bestFit="1" customWidth="1"/>
    <col min="14" max="14" width="28.28515625" style="3" bestFit="1" customWidth="1"/>
    <col min="15" max="15" width="13.140625" style="3" bestFit="1" customWidth="1"/>
    <col min="16" max="16" width="8" style="3" bestFit="1" customWidth="1"/>
    <col min="17" max="17" width="7.85546875" style="3" bestFit="1" customWidth="1"/>
    <col min="18" max="18" width="8.42578125" style="3" bestFit="1" customWidth="1"/>
    <col min="19" max="19" width="5.140625" style="3" bestFit="1" customWidth="1"/>
    <col min="20" max="16384" width="65.42578125" style="3"/>
  </cols>
  <sheetData>
    <row r="1" spans="1:19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4014</v>
      </c>
      <c r="H1" s="28" t="s">
        <v>6</v>
      </c>
      <c r="I1" s="28" t="s">
        <v>7</v>
      </c>
      <c r="J1" s="28" t="s">
        <v>8</v>
      </c>
      <c r="K1" s="28" t="s">
        <v>14</v>
      </c>
      <c r="L1" s="28" t="s">
        <v>12</v>
      </c>
      <c r="M1" s="28" t="s">
        <v>13</v>
      </c>
      <c r="N1" s="28" t="s">
        <v>1144</v>
      </c>
      <c r="O1" s="28" t="s">
        <v>30</v>
      </c>
      <c r="P1" s="27" t="s">
        <v>61</v>
      </c>
      <c r="Q1" s="27" t="s">
        <v>1971</v>
      </c>
      <c r="R1" s="27" t="s">
        <v>1120</v>
      </c>
      <c r="S1" s="27" t="s">
        <v>521</v>
      </c>
    </row>
    <row r="2" spans="1:19" x14ac:dyDescent="0.25">
      <c r="A2" s="52" t="s">
        <v>4248</v>
      </c>
      <c r="B2" s="54" t="str">
        <f>_xlfn.CONCAT("IC,",G2,",",H2,",",I2,",",J2)</f>
        <v>IC,OPAMP,DUAL,TI,TLC27L2CDR,SO8</v>
      </c>
      <c r="C2" s="53" t="s">
        <v>15</v>
      </c>
      <c r="D2" s="53" t="s">
        <v>15</v>
      </c>
      <c r="E2" s="53" t="s">
        <v>15</v>
      </c>
      <c r="F2" s="53" t="s">
        <v>15</v>
      </c>
      <c r="G2" s="53" t="s">
        <v>1182</v>
      </c>
      <c r="H2" s="53" t="s">
        <v>1145</v>
      </c>
      <c r="I2" s="53" t="s">
        <v>1146</v>
      </c>
      <c r="J2" s="53" t="s">
        <v>1147</v>
      </c>
      <c r="K2" s="53" t="s">
        <v>1148</v>
      </c>
      <c r="L2" s="53" t="s">
        <v>15</v>
      </c>
      <c r="M2" s="53" t="s">
        <v>1146</v>
      </c>
      <c r="N2" s="53" t="s">
        <v>1149</v>
      </c>
      <c r="O2" s="53" t="s">
        <v>1146</v>
      </c>
    </row>
    <row r="3" spans="1:19" x14ac:dyDescent="0.25">
      <c r="A3" s="52" t="s">
        <v>4249</v>
      </c>
      <c r="B3" s="54" t="str">
        <f t="shared" ref="B3:B66" si="0">_xlfn.CONCAT("IC,",G3,",",H3,",",I3,",",J3)</f>
        <v>IC,LOGIC,SINGLEGATE, MUX SPST,TI,74V1G66,SOT353</v>
      </c>
      <c r="C3" s="53" t="s">
        <v>15</v>
      </c>
      <c r="D3" s="53" t="s">
        <v>15</v>
      </c>
      <c r="E3" s="53" t="s">
        <v>15</v>
      </c>
      <c r="F3" s="53" t="s">
        <v>15</v>
      </c>
      <c r="G3" s="53" t="s">
        <v>4023</v>
      </c>
      <c r="H3" s="53" t="s">
        <v>1145</v>
      </c>
      <c r="I3" s="53" t="s">
        <v>1150</v>
      </c>
      <c r="J3" s="53" t="s">
        <v>1151</v>
      </c>
      <c r="K3" s="53" t="s">
        <v>1152</v>
      </c>
      <c r="L3" s="53" t="s">
        <v>15</v>
      </c>
      <c r="M3" s="53" t="s">
        <v>1150</v>
      </c>
      <c r="N3" s="53" t="s">
        <v>1153</v>
      </c>
      <c r="O3" s="53" t="s">
        <v>15</v>
      </c>
    </row>
    <row r="4" spans="1:19" x14ac:dyDescent="0.25">
      <c r="A4" s="52" t="s">
        <v>4250</v>
      </c>
      <c r="B4" s="54" t="str">
        <f t="shared" si="0"/>
        <v>IC,REG,SWITCHING,BUCK,MICREL,MIC2238-SSYML-TR,</v>
      </c>
      <c r="C4" s="53" t="s">
        <v>15</v>
      </c>
      <c r="D4" s="53" t="s">
        <v>15</v>
      </c>
      <c r="E4" s="53" t="s">
        <v>15</v>
      </c>
      <c r="F4" s="53" t="s">
        <v>15</v>
      </c>
      <c r="G4" s="53" t="s">
        <v>4024</v>
      </c>
      <c r="H4" s="53" t="s">
        <v>1154</v>
      </c>
      <c r="I4" s="53" t="s">
        <v>1155</v>
      </c>
      <c r="J4" s="53" t="s">
        <v>15</v>
      </c>
      <c r="K4" s="53" t="s">
        <v>1156</v>
      </c>
      <c r="L4" s="53" t="s">
        <v>15</v>
      </c>
      <c r="M4" s="53" t="s">
        <v>1155</v>
      </c>
      <c r="N4" s="53" t="s">
        <v>1157</v>
      </c>
      <c r="O4" s="53" t="s">
        <v>15</v>
      </c>
    </row>
    <row r="5" spans="1:19" x14ac:dyDescent="0.25">
      <c r="A5" s="52" t="s">
        <v>4251</v>
      </c>
      <c r="B5" s="54" t="str">
        <f t="shared" si="0"/>
        <v>IC,INTERFACE,DRIVER,TI,SN65LVDS1DBVR,</v>
      </c>
      <c r="C5" s="53" t="s">
        <v>15</v>
      </c>
      <c r="D5" s="53" t="s">
        <v>15</v>
      </c>
      <c r="E5" s="53" t="s">
        <v>15</v>
      </c>
      <c r="F5" s="53" t="s">
        <v>15</v>
      </c>
      <c r="G5" s="53" t="s">
        <v>4018</v>
      </c>
      <c r="H5" s="53" t="s">
        <v>1145</v>
      </c>
      <c r="I5" s="53" t="s">
        <v>1158</v>
      </c>
      <c r="J5" s="53" t="s">
        <v>15</v>
      </c>
      <c r="K5" s="53" t="s">
        <v>1159</v>
      </c>
      <c r="L5" s="53" t="s">
        <v>15</v>
      </c>
      <c r="M5" s="53" t="s">
        <v>1158</v>
      </c>
      <c r="N5" s="53" t="s">
        <v>1160</v>
      </c>
      <c r="O5" s="53" t="s">
        <v>15</v>
      </c>
    </row>
    <row r="6" spans="1:19" x14ac:dyDescent="0.25">
      <c r="A6" s="52" t="s">
        <v>4252</v>
      </c>
      <c r="B6" s="54" t="str">
        <f t="shared" si="0"/>
        <v>IC,SENSOR,TEMPERATURE,NXP,LM75AD,112,SO8</v>
      </c>
      <c r="C6" s="53" t="s">
        <v>15</v>
      </c>
      <c r="D6" s="53" t="s">
        <v>15</v>
      </c>
      <c r="E6" s="53" t="s">
        <v>15</v>
      </c>
      <c r="F6" s="53" t="s">
        <v>15</v>
      </c>
      <c r="G6" s="53" t="s">
        <v>4019</v>
      </c>
      <c r="H6" s="53" t="s">
        <v>699</v>
      </c>
      <c r="I6" s="53" t="s">
        <v>1161</v>
      </c>
      <c r="J6" s="53" t="s">
        <v>1147</v>
      </c>
      <c r="K6" s="53" t="s">
        <v>1162</v>
      </c>
      <c r="L6" s="53" t="s">
        <v>15</v>
      </c>
      <c r="M6" s="53" t="s">
        <v>15</v>
      </c>
      <c r="N6" s="53" t="s">
        <v>1163</v>
      </c>
      <c r="O6" s="53" t="s">
        <v>15</v>
      </c>
    </row>
    <row r="7" spans="1:19" x14ac:dyDescent="0.25">
      <c r="A7" s="52" t="s">
        <v>4253</v>
      </c>
      <c r="B7" s="54" t="str">
        <f t="shared" si="0"/>
        <v>IC,ADC/DAC,I2C,NXP,PCF8591T,SO16W</v>
      </c>
      <c r="C7" s="53" t="s">
        <v>15</v>
      </c>
      <c r="D7" s="53" t="s">
        <v>15</v>
      </c>
      <c r="E7" s="53" t="s">
        <v>15</v>
      </c>
      <c r="F7" s="53" t="s">
        <v>15</v>
      </c>
      <c r="G7" s="53" t="s">
        <v>4025</v>
      </c>
      <c r="H7" s="53" t="s">
        <v>699</v>
      </c>
      <c r="I7" s="53" t="s">
        <v>1164</v>
      </c>
      <c r="J7" s="53" t="s">
        <v>1165</v>
      </c>
      <c r="K7" s="53" t="s">
        <v>1166</v>
      </c>
      <c r="L7" s="53" t="s">
        <v>15</v>
      </c>
      <c r="M7" s="53" t="s">
        <v>15</v>
      </c>
      <c r="N7" s="53" t="s">
        <v>1167</v>
      </c>
      <c r="O7" s="53" t="s">
        <v>15</v>
      </c>
    </row>
    <row r="8" spans="1:19" x14ac:dyDescent="0.25">
      <c r="A8" s="52" t="s">
        <v>4254</v>
      </c>
      <c r="B8" s="54" t="str">
        <f t="shared" si="0"/>
        <v>IC,OPAMP,SINGLE,ST,TS951,SOT25</v>
      </c>
      <c r="C8" s="53" t="s">
        <v>15</v>
      </c>
      <c r="D8" s="53" t="s">
        <v>15</v>
      </c>
      <c r="E8" s="53" t="s">
        <v>15</v>
      </c>
      <c r="F8" s="53" t="s">
        <v>15</v>
      </c>
      <c r="G8" s="53" t="s">
        <v>4026</v>
      </c>
      <c r="H8" s="53" t="s">
        <v>807</v>
      </c>
      <c r="I8" s="53" t="s">
        <v>1168</v>
      </c>
      <c r="J8" s="53" t="s">
        <v>1169</v>
      </c>
      <c r="K8" s="53" t="s">
        <v>1170</v>
      </c>
      <c r="L8" s="53" t="s">
        <v>15</v>
      </c>
      <c r="M8" s="53" t="s">
        <v>15</v>
      </c>
      <c r="N8" s="53" t="s">
        <v>1171</v>
      </c>
      <c r="O8" s="53" t="s">
        <v>15</v>
      </c>
    </row>
    <row r="9" spans="1:19" x14ac:dyDescent="0.25">
      <c r="A9" s="52" t="s">
        <v>4255</v>
      </c>
      <c r="B9" s="54" t="str">
        <f t="shared" si="0"/>
        <v>IC,OPAMP,SINGLE,ST,TS971,SOT25</v>
      </c>
      <c r="C9" s="53" t="s">
        <v>15</v>
      </c>
      <c r="D9" s="53" t="s">
        <v>15</v>
      </c>
      <c r="E9" s="53" t="s">
        <v>15</v>
      </c>
      <c r="F9" s="53" t="s">
        <v>15</v>
      </c>
      <c r="G9" s="53" t="s">
        <v>4026</v>
      </c>
      <c r="H9" s="53" t="s">
        <v>807</v>
      </c>
      <c r="I9" s="53" t="s">
        <v>1172</v>
      </c>
      <c r="J9" s="53" t="s">
        <v>1169</v>
      </c>
      <c r="K9" s="53" t="s">
        <v>1173</v>
      </c>
      <c r="L9" s="53" t="s">
        <v>15</v>
      </c>
      <c r="M9" s="53" t="s">
        <v>15</v>
      </c>
      <c r="N9" s="53" t="s">
        <v>1171</v>
      </c>
      <c r="O9" s="53" t="s">
        <v>15</v>
      </c>
    </row>
    <row r="10" spans="1:19" x14ac:dyDescent="0.25">
      <c r="A10" s="52" t="s">
        <v>4256</v>
      </c>
      <c r="B10" s="54" t="str">
        <f t="shared" si="0"/>
        <v>IC,REG,LINEAR,POS,MOTOROLA,7805CT,TO220</v>
      </c>
      <c r="C10" s="53" t="s">
        <v>15</v>
      </c>
      <c r="D10" s="53" t="s">
        <v>15</v>
      </c>
      <c r="E10" s="53" t="s">
        <v>15</v>
      </c>
      <c r="F10" s="53" t="s">
        <v>15</v>
      </c>
      <c r="G10" s="53" t="s">
        <v>4027</v>
      </c>
      <c r="H10" s="53" t="s">
        <v>1086</v>
      </c>
      <c r="I10" s="53" t="s">
        <v>1174</v>
      </c>
      <c r="J10" s="53" t="s">
        <v>780</v>
      </c>
      <c r="K10" s="53" t="s">
        <v>1175</v>
      </c>
      <c r="L10" s="53" t="s">
        <v>15</v>
      </c>
      <c r="M10" s="53" t="s">
        <v>15</v>
      </c>
      <c r="N10" s="53" t="s">
        <v>1176</v>
      </c>
      <c r="O10" s="53" t="s">
        <v>15</v>
      </c>
    </row>
    <row r="11" spans="1:19" x14ac:dyDescent="0.25">
      <c r="A11" s="52" t="s">
        <v>4257</v>
      </c>
      <c r="B11" s="54" t="str">
        <f t="shared" si="0"/>
        <v>IC,OPAMP,DUAL,ST,TS942IN,DIP8</v>
      </c>
      <c r="C11" s="53" t="s">
        <v>15</v>
      </c>
      <c r="D11" s="53" t="s">
        <v>15</v>
      </c>
      <c r="E11" s="53" t="s">
        <v>15</v>
      </c>
      <c r="F11" s="53" t="s">
        <v>15</v>
      </c>
      <c r="G11" s="53" t="s">
        <v>1182</v>
      </c>
      <c r="H11" s="53" t="s">
        <v>807</v>
      </c>
      <c r="I11" s="53" t="s">
        <v>1177</v>
      </c>
      <c r="J11" s="53" t="s">
        <v>423</v>
      </c>
      <c r="K11" s="53" t="s">
        <v>1178</v>
      </c>
      <c r="L11" s="53" t="s">
        <v>15</v>
      </c>
      <c r="M11" s="53" t="s">
        <v>15</v>
      </c>
      <c r="N11" s="53" t="s">
        <v>1179</v>
      </c>
      <c r="O11" s="53" t="s">
        <v>15</v>
      </c>
    </row>
    <row r="12" spans="1:19" x14ac:dyDescent="0.25">
      <c r="A12" s="52" t="s">
        <v>4258</v>
      </c>
      <c r="B12" s="54" t="str">
        <f t="shared" si="0"/>
        <v>IC,OPAMP,DUAL,ST,TS912IN,DIP8</v>
      </c>
      <c r="C12" s="53" t="s">
        <v>15</v>
      </c>
      <c r="D12" s="53" t="s">
        <v>15</v>
      </c>
      <c r="E12" s="53" t="s">
        <v>15</v>
      </c>
      <c r="F12" s="53" t="s">
        <v>15</v>
      </c>
      <c r="G12" s="53" t="s">
        <v>1182</v>
      </c>
      <c r="H12" s="53" t="s">
        <v>807</v>
      </c>
      <c r="I12" s="53" t="s">
        <v>1180</v>
      </c>
      <c r="J12" s="53" t="s">
        <v>423</v>
      </c>
      <c r="K12" s="53" t="s">
        <v>1181</v>
      </c>
      <c r="L12" s="53" t="s">
        <v>15</v>
      </c>
      <c r="M12" s="53" t="s">
        <v>15</v>
      </c>
      <c r="N12" s="53" t="s">
        <v>1182</v>
      </c>
      <c r="O12" s="53" t="s">
        <v>15</v>
      </c>
    </row>
    <row r="13" spans="1:19" x14ac:dyDescent="0.25">
      <c r="A13" s="52" t="s">
        <v>4259</v>
      </c>
      <c r="B13" s="54" t="str">
        <f t="shared" si="0"/>
        <v>IC,OPAMP,DUAL,ST,TS972IN,DIP8</v>
      </c>
      <c r="C13" s="53" t="s">
        <v>15</v>
      </c>
      <c r="D13" s="53" t="s">
        <v>15</v>
      </c>
      <c r="E13" s="53" t="s">
        <v>15</v>
      </c>
      <c r="F13" s="53" t="s">
        <v>15</v>
      </c>
      <c r="G13" s="53" t="s">
        <v>1182</v>
      </c>
      <c r="H13" s="53" t="s">
        <v>807</v>
      </c>
      <c r="I13" s="53" t="s">
        <v>1183</v>
      </c>
      <c r="J13" s="53" t="s">
        <v>423</v>
      </c>
      <c r="K13" s="53" t="s">
        <v>1184</v>
      </c>
      <c r="L13" s="53" t="s">
        <v>15</v>
      </c>
      <c r="M13" s="53" t="s">
        <v>15</v>
      </c>
      <c r="N13" s="53" t="s">
        <v>1182</v>
      </c>
      <c r="O13" s="53" t="s">
        <v>15</v>
      </c>
    </row>
    <row r="14" spans="1:19" x14ac:dyDescent="0.25">
      <c r="A14" s="52" t="s">
        <v>4260</v>
      </c>
      <c r="B14" s="54" t="str">
        <f t="shared" si="0"/>
        <v>IC,OPAMP,DUAL,ST,TS922IN,DIP8</v>
      </c>
      <c r="C14" s="53" t="s">
        <v>15</v>
      </c>
      <c r="D14" s="53" t="s">
        <v>15</v>
      </c>
      <c r="E14" s="53" t="s">
        <v>15</v>
      </c>
      <c r="F14" s="53" t="s">
        <v>15</v>
      </c>
      <c r="G14" s="53" t="s">
        <v>1182</v>
      </c>
      <c r="H14" s="53" t="s">
        <v>807</v>
      </c>
      <c r="I14" s="53" t="s">
        <v>1185</v>
      </c>
      <c r="J14" s="53" t="s">
        <v>423</v>
      </c>
      <c r="K14" s="53" t="s">
        <v>1186</v>
      </c>
      <c r="L14" s="53" t="s">
        <v>15</v>
      </c>
      <c r="M14" s="53" t="s">
        <v>15</v>
      </c>
      <c r="N14" s="53" t="s">
        <v>1182</v>
      </c>
      <c r="O14" s="53" t="s">
        <v>15</v>
      </c>
    </row>
    <row r="15" spans="1:19" x14ac:dyDescent="0.25">
      <c r="A15" s="52" t="s">
        <v>4261</v>
      </c>
      <c r="B15" s="54" t="str">
        <f t="shared" si="0"/>
        <v>IC,OPAMP,DUAL,ST,TS952IN,DIP8</v>
      </c>
      <c r="C15" s="53" t="s">
        <v>15</v>
      </c>
      <c r="D15" s="53" t="s">
        <v>15</v>
      </c>
      <c r="E15" s="53" t="s">
        <v>15</v>
      </c>
      <c r="F15" s="53" t="s">
        <v>15</v>
      </c>
      <c r="G15" s="53" t="s">
        <v>1182</v>
      </c>
      <c r="H15" s="53" t="s">
        <v>807</v>
      </c>
      <c r="I15" s="53" t="s">
        <v>1187</v>
      </c>
      <c r="J15" s="53" t="s">
        <v>423</v>
      </c>
      <c r="K15" s="53" t="s">
        <v>1188</v>
      </c>
      <c r="L15" s="53" t="s">
        <v>15</v>
      </c>
      <c r="M15" s="53" t="s">
        <v>15</v>
      </c>
      <c r="N15" s="53" t="s">
        <v>1182</v>
      </c>
      <c r="O15" s="53" t="s">
        <v>15</v>
      </c>
    </row>
    <row r="16" spans="1:19" x14ac:dyDescent="0.25">
      <c r="A16" s="52" t="s">
        <v>4262</v>
      </c>
      <c r="B16" s="54" t="str">
        <f t="shared" si="0"/>
        <v>IC,OPAMP,DUAL,ST,TS462CN,DIP8</v>
      </c>
      <c r="C16" s="53" t="s">
        <v>15</v>
      </c>
      <c r="D16" s="53" t="s">
        <v>15</v>
      </c>
      <c r="E16" s="53" t="s">
        <v>15</v>
      </c>
      <c r="F16" s="53" t="s">
        <v>15</v>
      </c>
      <c r="G16" s="53" t="s">
        <v>1182</v>
      </c>
      <c r="H16" s="53" t="s">
        <v>807</v>
      </c>
      <c r="I16" s="53" t="s">
        <v>1189</v>
      </c>
      <c r="J16" s="53" t="s">
        <v>423</v>
      </c>
      <c r="K16" s="53" t="s">
        <v>1190</v>
      </c>
      <c r="L16" s="53" t="s">
        <v>15</v>
      </c>
      <c r="M16" s="53" t="s">
        <v>15</v>
      </c>
      <c r="N16" s="53" t="s">
        <v>1182</v>
      </c>
      <c r="O16" s="53" t="s">
        <v>15</v>
      </c>
    </row>
    <row r="17" spans="1:15" x14ac:dyDescent="0.25">
      <c r="A17" s="52" t="s">
        <v>4263</v>
      </c>
      <c r="B17" s="54" t="str">
        <f t="shared" si="0"/>
        <v>IC,OPAMP,DUAL,ST,TS922I,SO8</v>
      </c>
      <c r="C17" s="53" t="s">
        <v>15</v>
      </c>
      <c r="D17" s="53" t="s">
        <v>15</v>
      </c>
      <c r="E17" s="53" t="s">
        <v>15</v>
      </c>
      <c r="F17" s="53" t="s">
        <v>15</v>
      </c>
      <c r="G17" s="53" t="s">
        <v>1182</v>
      </c>
      <c r="H17" s="53" t="s">
        <v>807</v>
      </c>
      <c r="I17" s="53" t="s">
        <v>1191</v>
      </c>
      <c r="J17" s="53" t="s">
        <v>1147</v>
      </c>
      <c r="K17" s="53" t="s">
        <v>1192</v>
      </c>
      <c r="L17" s="53" t="s">
        <v>15</v>
      </c>
      <c r="M17" s="53" t="s">
        <v>15</v>
      </c>
      <c r="N17" s="53" t="s">
        <v>1182</v>
      </c>
      <c r="O17" s="53" t="s">
        <v>15</v>
      </c>
    </row>
    <row r="18" spans="1:15" x14ac:dyDescent="0.25">
      <c r="A18" s="52" t="s">
        <v>4264</v>
      </c>
      <c r="B18" s="54" t="str">
        <f t="shared" si="0"/>
        <v>IC,OPAMP,QUAD,ST,TS924AI,SO14</v>
      </c>
      <c r="C18" s="53" t="s">
        <v>15</v>
      </c>
      <c r="D18" s="53" t="s">
        <v>15</v>
      </c>
      <c r="E18" s="53" t="s">
        <v>15</v>
      </c>
      <c r="F18" s="53" t="s">
        <v>15</v>
      </c>
      <c r="G18" s="53" t="s">
        <v>4020</v>
      </c>
      <c r="H18" s="53" t="s">
        <v>807</v>
      </c>
      <c r="I18" s="53" t="s">
        <v>1193</v>
      </c>
      <c r="J18" s="53" t="s">
        <v>1194</v>
      </c>
      <c r="K18" s="53" t="s">
        <v>1195</v>
      </c>
      <c r="L18" s="53" t="s">
        <v>15</v>
      </c>
      <c r="M18" s="53" t="s">
        <v>15</v>
      </c>
      <c r="N18" s="53" t="s">
        <v>1196</v>
      </c>
      <c r="O18" s="53" t="s">
        <v>15</v>
      </c>
    </row>
    <row r="19" spans="1:15" x14ac:dyDescent="0.25">
      <c r="A19" s="52" t="s">
        <v>4265</v>
      </c>
      <c r="B19" s="54" t="str">
        <f t="shared" si="0"/>
        <v>IC,OPAMP,QUAD,ST,TS925I,TSSOP14</v>
      </c>
      <c r="C19" s="53" t="s">
        <v>15</v>
      </c>
      <c r="D19" s="53" t="s">
        <v>15</v>
      </c>
      <c r="E19" s="53" t="s">
        <v>15</v>
      </c>
      <c r="F19" s="53" t="s">
        <v>15</v>
      </c>
      <c r="G19" s="53" t="s">
        <v>4020</v>
      </c>
      <c r="H19" s="53" t="s">
        <v>807</v>
      </c>
      <c r="I19" s="53" t="s">
        <v>1197</v>
      </c>
      <c r="J19" s="53" t="s">
        <v>1198</v>
      </c>
      <c r="K19" s="53" t="s">
        <v>1199</v>
      </c>
      <c r="L19" s="53" t="s">
        <v>15</v>
      </c>
      <c r="M19" s="53" t="s">
        <v>15</v>
      </c>
      <c r="N19" s="53" t="s">
        <v>1196</v>
      </c>
      <c r="O19" s="53" t="s">
        <v>15</v>
      </c>
    </row>
    <row r="20" spans="1:15" x14ac:dyDescent="0.25">
      <c r="A20" s="52" t="s">
        <v>4266</v>
      </c>
      <c r="B20" s="54" t="str">
        <f t="shared" si="0"/>
        <v>IC,OPAMP,DUAL,ST,TS942I,SO8</v>
      </c>
      <c r="C20" s="53" t="s">
        <v>15</v>
      </c>
      <c r="D20" s="53" t="s">
        <v>15</v>
      </c>
      <c r="E20" s="53" t="s">
        <v>15</v>
      </c>
      <c r="F20" s="53" t="s">
        <v>15</v>
      </c>
      <c r="G20" s="53" t="s">
        <v>1182</v>
      </c>
      <c r="H20" s="53" t="s">
        <v>807</v>
      </c>
      <c r="I20" s="53" t="s">
        <v>1200</v>
      </c>
      <c r="J20" s="53" t="s">
        <v>1147</v>
      </c>
      <c r="K20" s="53" t="s">
        <v>1201</v>
      </c>
      <c r="L20" s="53" t="s">
        <v>15</v>
      </c>
      <c r="M20" s="53" t="s">
        <v>15</v>
      </c>
      <c r="N20" s="53" t="s">
        <v>1182</v>
      </c>
      <c r="O20" s="53" t="s">
        <v>15</v>
      </c>
    </row>
    <row r="21" spans="1:15" x14ac:dyDescent="0.25">
      <c r="A21" s="52" t="s">
        <v>4267</v>
      </c>
      <c r="B21" s="54" t="str">
        <f t="shared" si="0"/>
        <v>IC,OPAMP,QUAD,ST,TS914I,SO14</v>
      </c>
      <c r="C21" s="53" t="s">
        <v>15</v>
      </c>
      <c r="D21" s="53" t="s">
        <v>15</v>
      </c>
      <c r="E21" s="53" t="s">
        <v>15</v>
      </c>
      <c r="F21" s="53" t="s">
        <v>15</v>
      </c>
      <c r="G21" s="53" t="s">
        <v>4020</v>
      </c>
      <c r="H21" s="53" t="s">
        <v>807</v>
      </c>
      <c r="I21" s="53" t="s">
        <v>1202</v>
      </c>
      <c r="J21" s="53" t="s">
        <v>1194</v>
      </c>
      <c r="K21" s="53" t="s">
        <v>1203</v>
      </c>
      <c r="L21" s="53" t="s">
        <v>15</v>
      </c>
      <c r="M21" s="53" t="s">
        <v>15</v>
      </c>
      <c r="N21" s="53" t="s">
        <v>1196</v>
      </c>
      <c r="O21" s="53" t="s">
        <v>15</v>
      </c>
    </row>
    <row r="22" spans="1:15" x14ac:dyDescent="0.25">
      <c r="A22" s="52" t="s">
        <v>4268</v>
      </c>
      <c r="B22" s="54" t="str">
        <f t="shared" si="0"/>
        <v>IC,OPAMP,QUAD,ST,TS954I,SO14</v>
      </c>
      <c r="C22" s="53" t="s">
        <v>15</v>
      </c>
      <c r="D22" s="53" t="s">
        <v>15</v>
      </c>
      <c r="E22" s="53" t="s">
        <v>15</v>
      </c>
      <c r="F22" s="53" t="s">
        <v>15</v>
      </c>
      <c r="G22" s="53" t="s">
        <v>4020</v>
      </c>
      <c r="H22" s="53" t="s">
        <v>807</v>
      </c>
      <c r="I22" s="53" t="s">
        <v>1204</v>
      </c>
      <c r="J22" s="53" t="s">
        <v>1194</v>
      </c>
      <c r="K22" s="53" t="s">
        <v>1205</v>
      </c>
      <c r="L22" s="53" t="s">
        <v>15</v>
      </c>
      <c r="M22" s="53" t="s">
        <v>15</v>
      </c>
      <c r="N22" s="53" t="s">
        <v>1196</v>
      </c>
      <c r="O22" s="53" t="s">
        <v>15</v>
      </c>
    </row>
    <row r="23" spans="1:15" x14ac:dyDescent="0.25">
      <c r="A23" s="52" t="s">
        <v>4269</v>
      </c>
      <c r="B23" s="54" t="str">
        <f t="shared" si="0"/>
        <v>IC,OPAMP,QUAD,ST,TS904I,SO14</v>
      </c>
      <c r="C23" s="53" t="s">
        <v>15</v>
      </c>
      <c r="D23" s="53" t="s">
        <v>15</v>
      </c>
      <c r="E23" s="53" t="s">
        <v>15</v>
      </c>
      <c r="F23" s="53" t="s">
        <v>15</v>
      </c>
      <c r="G23" s="53" t="s">
        <v>4020</v>
      </c>
      <c r="H23" s="53" t="s">
        <v>807</v>
      </c>
      <c r="I23" s="53" t="s">
        <v>1206</v>
      </c>
      <c r="J23" s="53" t="s">
        <v>1194</v>
      </c>
      <c r="K23" s="53" t="s">
        <v>1207</v>
      </c>
      <c r="L23" s="53" t="s">
        <v>15</v>
      </c>
      <c r="M23" s="53" t="s">
        <v>15</v>
      </c>
      <c r="N23" s="53" t="s">
        <v>1196</v>
      </c>
      <c r="O23" s="53" t="s">
        <v>15</v>
      </c>
    </row>
    <row r="24" spans="1:15" x14ac:dyDescent="0.25">
      <c r="A24" s="52" t="s">
        <v>4270</v>
      </c>
      <c r="B24" s="54" t="str">
        <f t="shared" si="0"/>
        <v>IC,OPAMP,DUAL,ST,TS912I,SO8</v>
      </c>
      <c r="C24" s="53" t="s">
        <v>15</v>
      </c>
      <c r="D24" s="53" t="s">
        <v>15</v>
      </c>
      <c r="E24" s="53" t="s">
        <v>15</v>
      </c>
      <c r="F24" s="53" t="s">
        <v>15</v>
      </c>
      <c r="G24" s="53" t="s">
        <v>1182</v>
      </c>
      <c r="H24" s="53" t="s">
        <v>807</v>
      </c>
      <c r="I24" s="53" t="s">
        <v>1208</v>
      </c>
      <c r="J24" s="53" t="s">
        <v>1147</v>
      </c>
      <c r="K24" s="53" t="s">
        <v>1209</v>
      </c>
      <c r="L24" s="53" t="s">
        <v>15</v>
      </c>
      <c r="M24" s="53" t="s">
        <v>15</v>
      </c>
      <c r="N24" s="53" t="s">
        <v>1182</v>
      </c>
      <c r="O24" s="53" t="s">
        <v>15</v>
      </c>
    </row>
    <row r="25" spans="1:15" x14ac:dyDescent="0.25">
      <c r="A25" s="52" t="s">
        <v>4271</v>
      </c>
      <c r="B25" s="54" t="str">
        <f t="shared" si="0"/>
        <v>IC,OPAMP,DUAL,ST,TS462C,SO8</v>
      </c>
      <c r="C25" s="53" t="s">
        <v>15</v>
      </c>
      <c r="D25" s="53" t="s">
        <v>15</v>
      </c>
      <c r="E25" s="53" t="s">
        <v>15</v>
      </c>
      <c r="F25" s="53" t="s">
        <v>15</v>
      </c>
      <c r="G25" s="53" t="s">
        <v>1182</v>
      </c>
      <c r="H25" s="53" t="s">
        <v>807</v>
      </c>
      <c r="I25" s="53" t="s">
        <v>1210</v>
      </c>
      <c r="J25" s="53" t="s">
        <v>1147</v>
      </c>
      <c r="K25" s="53" t="s">
        <v>1211</v>
      </c>
      <c r="L25" s="53" t="s">
        <v>15</v>
      </c>
      <c r="M25" s="53" t="s">
        <v>15</v>
      </c>
      <c r="N25" s="53" t="s">
        <v>1182</v>
      </c>
      <c r="O25" s="53" t="s">
        <v>15</v>
      </c>
    </row>
    <row r="26" spans="1:15" x14ac:dyDescent="0.25">
      <c r="A26" s="52" t="s">
        <v>4272</v>
      </c>
      <c r="B26" s="54" t="str">
        <f t="shared" si="0"/>
        <v>IC,OPAMP,DUAL,ST,TS972I,SO8</v>
      </c>
      <c r="C26" s="53" t="s">
        <v>15</v>
      </c>
      <c r="D26" s="53" t="s">
        <v>15</v>
      </c>
      <c r="E26" s="53" t="s">
        <v>15</v>
      </c>
      <c r="F26" s="53" t="s">
        <v>15</v>
      </c>
      <c r="G26" s="53" t="s">
        <v>1182</v>
      </c>
      <c r="H26" s="53" t="s">
        <v>807</v>
      </c>
      <c r="I26" s="53" t="s">
        <v>1212</v>
      </c>
      <c r="J26" s="53" t="s">
        <v>1147</v>
      </c>
      <c r="K26" s="53" t="s">
        <v>1213</v>
      </c>
      <c r="L26" s="53" t="s">
        <v>15</v>
      </c>
      <c r="M26" s="53" t="s">
        <v>15</v>
      </c>
      <c r="N26" s="53" t="s">
        <v>1182</v>
      </c>
      <c r="O26" s="53" t="s">
        <v>15</v>
      </c>
    </row>
    <row r="27" spans="1:15" x14ac:dyDescent="0.25">
      <c r="A27" s="52" t="s">
        <v>4273</v>
      </c>
      <c r="B27" s="54" t="str">
        <f t="shared" si="0"/>
        <v>IC,OPAMP,QUAD,ST,TS974I,SO14</v>
      </c>
      <c r="C27" s="53" t="s">
        <v>15</v>
      </c>
      <c r="D27" s="53" t="s">
        <v>15</v>
      </c>
      <c r="E27" s="53" t="s">
        <v>15</v>
      </c>
      <c r="F27" s="53" t="s">
        <v>15</v>
      </c>
      <c r="G27" s="53" t="s">
        <v>4020</v>
      </c>
      <c r="H27" s="53" t="s">
        <v>807</v>
      </c>
      <c r="I27" s="53" t="s">
        <v>1214</v>
      </c>
      <c r="J27" s="53" t="s">
        <v>1194</v>
      </c>
      <c r="K27" s="53" t="s">
        <v>1215</v>
      </c>
      <c r="L27" s="53" t="s">
        <v>15</v>
      </c>
      <c r="M27" s="53" t="s">
        <v>15</v>
      </c>
      <c r="N27" s="53" t="s">
        <v>1196</v>
      </c>
      <c r="O27" s="53" t="s">
        <v>15</v>
      </c>
    </row>
    <row r="28" spans="1:15" x14ac:dyDescent="0.25">
      <c r="A28" s="52" t="s">
        <v>4274</v>
      </c>
      <c r="B28" s="54" t="str">
        <f t="shared" si="0"/>
        <v>IC,OPAMP,QUAD,ST,TS902I,SO14</v>
      </c>
      <c r="C28" s="53" t="s">
        <v>15</v>
      </c>
      <c r="D28" s="53" t="s">
        <v>15</v>
      </c>
      <c r="E28" s="53" t="s">
        <v>15</v>
      </c>
      <c r="F28" s="53" t="s">
        <v>15</v>
      </c>
      <c r="G28" s="53" t="s">
        <v>4020</v>
      </c>
      <c r="H28" s="53" t="s">
        <v>807</v>
      </c>
      <c r="I28" s="53" t="s">
        <v>1216</v>
      </c>
      <c r="J28" s="53" t="s">
        <v>1194</v>
      </c>
      <c r="K28" s="53" t="s">
        <v>1217</v>
      </c>
      <c r="L28" s="53" t="s">
        <v>15</v>
      </c>
      <c r="M28" s="53" t="s">
        <v>15</v>
      </c>
      <c r="N28" s="53" t="s">
        <v>1196</v>
      </c>
      <c r="O28" s="53" t="s">
        <v>15</v>
      </c>
    </row>
    <row r="29" spans="1:15" x14ac:dyDescent="0.25">
      <c r="A29" s="52" t="s">
        <v>4275</v>
      </c>
      <c r="B29" s="54" t="str">
        <f t="shared" si="0"/>
        <v>IC,OPAMP,QUAD,ST,TS464C,SO14</v>
      </c>
      <c r="C29" s="53" t="s">
        <v>15</v>
      </c>
      <c r="D29" s="53" t="s">
        <v>15</v>
      </c>
      <c r="E29" s="53" t="s">
        <v>15</v>
      </c>
      <c r="F29" s="53" t="s">
        <v>15</v>
      </c>
      <c r="G29" s="53" t="s">
        <v>4020</v>
      </c>
      <c r="H29" s="53" t="s">
        <v>807</v>
      </c>
      <c r="I29" s="53" t="s">
        <v>1218</v>
      </c>
      <c r="J29" s="53" t="s">
        <v>1194</v>
      </c>
      <c r="K29" s="53" t="s">
        <v>1219</v>
      </c>
      <c r="L29" s="53" t="s">
        <v>15</v>
      </c>
      <c r="M29" s="53" t="s">
        <v>15</v>
      </c>
      <c r="N29" s="53" t="s">
        <v>1196</v>
      </c>
      <c r="O29" s="53" t="s">
        <v>15</v>
      </c>
    </row>
    <row r="30" spans="1:15" x14ac:dyDescent="0.25">
      <c r="A30" s="52" t="s">
        <v>4276</v>
      </c>
      <c r="B30" s="54" t="str">
        <f t="shared" si="0"/>
        <v>IC,OPAMP,SINGLE,ST,TS461CLT,SOT25</v>
      </c>
      <c r="C30" s="53" t="s">
        <v>15</v>
      </c>
      <c r="D30" s="53" t="s">
        <v>15</v>
      </c>
      <c r="E30" s="53" t="s">
        <v>15</v>
      </c>
      <c r="F30" s="53" t="s">
        <v>15</v>
      </c>
      <c r="G30" s="53" t="s">
        <v>4026</v>
      </c>
      <c r="H30" s="53" t="s">
        <v>807</v>
      </c>
      <c r="I30" s="53" t="s">
        <v>1220</v>
      </c>
      <c r="J30" s="53" t="s">
        <v>1169</v>
      </c>
      <c r="K30" s="53" t="s">
        <v>1221</v>
      </c>
      <c r="L30" s="53" t="s">
        <v>15</v>
      </c>
      <c r="M30" s="53" t="s">
        <v>15</v>
      </c>
      <c r="N30" s="53" t="s">
        <v>1171</v>
      </c>
      <c r="O30" s="53" t="s">
        <v>15</v>
      </c>
    </row>
    <row r="31" spans="1:15" x14ac:dyDescent="0.25">
      <c r="A31" s="52" t="s">
        <v>4277</v>
      </c>
      <c r="B31" s="54" t="str">
        <f t="shared" si="0"/>
        <v>IC,OPAMP,DUAL,ST,TS952I,SO8</v>
      </c>
      <c r="C31" s="53" t="s">
        <v>15</v>
      </c>
      <c r="D31" s="53" t="s">
        <v>15</v>
      </c>
      <c r="E31" s="53" t="s">
        <v>15</v>
      </c>
      <c r="F31" s="53" t="s">
        <v>15</v>
      </c>
      <c r="G31" s="53" t="s">
        <v>1182</v>
      </c>
      <c r="H31" s="53" t="s">
        <v>807</v>
      </c>
      <c r="I31" s="53" t="s">
        <v>1222</v>
      </c>
      <c r="J31" s="53" t="s">
        <v>1147</v>
      </c>
      <c r="K31" s="53" t="s">
        <v>1223</v>
      </c>
      <c r="L31" s="53" t="s">
        <v>15</v>
      </c>
      <c r="M31" s="53" t="s">
        <v>15</v>
      </c>
      <c r="N31" s="53" t="s">
        <v>1182</v>
      </c>
      <c r="O31" s="53" t="s">
        <v>15</v>
      </c>
    </row>
    <row r="32" spans="1:15" x14ac:dyDescent="0.25">
      <c r="A32" s="52" t="s">
        <v>4278</v>
      </c>
      <c r="B32" s="54" t="str">
        <f t="shared" si="0"/>
        <v>IC,OPAMP,QUAD,ST,TS925I,SO14</v>
      </c>
      <c r="C32" s="53" t="s">
        <v>15</v>
      </c>
      <c r="D32" s="53" t="s">
        <v>15</v>
      </c>
      <c r="E32" s="53" t="s">
        <v>15</v>
      </c>
      <c r="F32" s="53" t="s">
        <v>15</v>
      </c>
      <c r="G32" s="53" t="s">
        <v>4020</v>
      </c>
      <c r="H32" s="53" t="s">
        <v>807</v>
      </c>
      <c r="I32" s="53" t="s">
        <v>1197</v>
      </c>
      <c r="J32" s="53" t="s">
        <v>1194</v>
      </c>
      <c r="K32" s="53" t="s">
        <v>1224</v>
      </c>
      <c r="L32" s="53" t="s">
        <v>15</v>
      </c>
      <c r="M32" s="53" t="s">
        <v>15</v>
      </c>
      <c r="N32" s="53" t="s">
        <v>1196</v>
      </c>
      <c r="O32" s="53" t="s">
        <v>15</v>
      </c>
    </row>
    <row r="33" spans="1:15" x14ac:dyDescent="0.25">
      <c r="A33" s="52" t="s">
        <v>4279</v>
      </c>
      <c r="B33" s="54" t="str">
        <f t="shared" si="0"/>
        <v>IC,MEMORY,SPI,CATALYST,CAT25C01P,DIP8</v>
      </c>
      <c r="C33" s="53" t="s">
        <v>15</v>
      </c>
      <c r="D33" s="53" t="s">
        <v>15</v>
      </c>
      <c r="E33" s="53" t="s">
        <v>15</v>
      </c>
      <c r="F33" s="53" t="s">
        <v>15</v>
      </c>
      <c r="G33" s="53" t="s">
        <v>4021</v>
      </c>
      <c r="H33" s="53" t="s">
        <v>1225</v>
      </c>
      <c r="I33" s="53" t="s">
        <v>1226</v>
      </c>
      <c r="J33" s="53" t="s">
        <v>423</v>
      </c>
      <c r="K33" s="53" t="s">
        <v>1227</v>
      </c>
      <c r="L33" s="53" t="s">
        <v>15</v>
      </c>
      <c r="M33" s="53" t="s">
        <v>15</v>
      </c>
      <c r="N33" s="53" t="s">
        <v>1228</v>
      </c>
      <c r="O33" s="53" t="s">
        <v>15</v>
      </c>
    </row>
    <row r="34" spans="1:15" x14ac:dyDescent="0.25">
      <c r="A34" s="52" t="s">
        <v>4280</v>
      </c>
      <c r="B34" s="54" t="str">
        <f t="shared" si="0"/>
        <v>IC,DAC,8-BIT,SPI,MAXIM,MAX5513EUA+,</v>
      </c>
      <c r="C34" s="53" t="s">
        <v>15</v>
      </c>
      <c r="D34" s="53" t="s">
        <v>15</v>
      </c>
      <c r="E34" s="53" t="s">
        <v>15</v>
      </c>
      <c r="F34" s="53" t="s">
        <v>15</v>
      </c>
      <c r="G34" s="53" t="s">
        <v>4955</v>
      </c>
      <c r="H34" s="53" t="s">
        <v>1229</v>
      </c>
      <c r="I34" s="53" t="s">
        <v>1230</v>
      </c>
      <c r="J34" s="53" t="s">
        <v>15</v>
      </c>
      <c r="K34" s="53" t="s">
        <v>1231</v>
      </c>
      <c r="L34" s="53" t="s">
        <v>15</v>
      </c>
      <c r="M34" s="53" t="s">
        <v>15</v>
      </c>
      <c r="N34" s="53" t="s">
        <v>1232</v>
      </c>
      <c r="O34" s="53" t="s">
        <v>15</v>
      </c>
    </row>
    <row r="35" spans="1:15" x14ac:dyDescent="0.25">
      <c r="A35" s="52" t="s">
        <v>4281</v>
      </c>
      <c r="B35" s="54" t="str">
        <f t="shared" si="0"/>
        <v>IC,ADC,16-BIT,4-CH,I2C,MICROCHIP,MCP3428E/SL,SO14</v>
      </c>
      <c r="C35" s="53" t="s">
        <v>15</v>
      </c>
      <c r="D35" s="53" t="s">
        <v>15</v>
      </c>
      <c r="E35" s="53" t="s">
        <v>15</v>
      </c>
      <c r="F35" s="53" t="s">
        <v>15</v>
      </c>
      <c r="G35" s="53" t="s">
        <v>4956</v>
      </c>
      <c r="H35" s="53" t="s">
        <v>939</v>
      </c>
      <c r="I35" s="53" t="s">
        <v>1233</v>
      </c>
      <c r="J35" s="53" t="s">
        <v>1194</v>
      </c>
      <c r="K35" s="53" t="s">
        <v>1234</v>
      </c>
      <c r="L35" s="53" t="s">
        <v>15</v>
      </c>
      <c r="M35" s="53" t="s">
        <v>15</v>
      </c>
      <c r="N35" s="53" t="s">
        <v>1235</v>
      </c>
      <c r="O35" s="53" t="s">
        <v>15</v>
      </c>
    </row>
    <row r="36" spans="1:15" x14ac:dyDescent="0.25">
      <c r="A36" s="52" t="s">
        <v>4282</v>
      </c>
      <c r="B36" s="54" t="str">
        <f t="shared" si="0"/>
        <v>IC,MICROCONTROLLER,ATMEL,ATMEGA328P-AU,</v>
      </c>
      <c r="C36" s="53" t="s">
        <v>15</v>
      </c>
      <c r="D36" s="53" t="s">
        <v>15</v>
      </c>
      <c r="E36" s="53" t="s">
        <v>15</v>
      </c>
      <c r="F36" s="53" t="s">
        <v>15</v>
      </c>
      <c r="G36" s="53" t="s">
        <v>1239</v>
      </c>
      <c r="H36" s="53" t="s">
        <v>1236</v>
      </c>
      <c r="I36" s="53" t="s">
        <v>1237</v>
      </c>
      <c r="J36" s="53" t="s">
        <v>15</v>
      </c>
      <c r="K36" s="53" t="s">
        <v>1238</v>
      </c>
      <c r="L36" s="53" t="s">
        <v>15</v>
      </c>
      <c r="M36" s="53" t="s">
        <v>15</v>
      </c>
      <c r="N36" s="53" t="s">
        <v>1239</v>
      </c>
      <c r="O36" s="53" t="s">
        <v>15</v>
      </c>
    </row>
    <row r="37" spans="1:15" x14ac:dyDescent="0.25">
      <c r="A37" s="52" t="s">
        <v>4283</v>
      </c>
      <c r="B37" s="54" t="str">
        <f t="shared" si="0"/>
        <v>IC,OPAMP,INSTRUMENTATION,ANALOG DEVICES,AD623ARZ,SO8</v>
      </c>
      <c r="C37" s="53" t="s">
        <v>15</v>
      </c>
      <c r="D37" s="53" t="s">
        <v>15</v>
      </c>
      <c r="E37" s="53" t="s">
        <v>15</v>
      </c>
      <c r="F37" s="53" t="s">
        <v>15</v>
      </c>
      <c r="G37" s="53" t="s">
        <v>4022</v>
      </c>
      <c r="H37" s="53" t="s">
        <v>1240</v>
      </c>
      <c r="I37" s="53" t="s">
        <v>1241</v>
      </c>
      <c r="J37" s="53" t="s">
        <v>1147</v>
      </c>
      <c r="K37" s="53" t="s">
        <v>1242</v>
      </c>
      <c r="L37" s="53" t="s">
        <v>15</v>
      </c>
      <c r="M37" s="53" t="s">
        <v>15</v>
      </c>
      <c r="N37" s="53" t="s">
        <v>1243</v>
      </c>
      <c r="O37" s="53" t="s">
        <v>15</v>
      </c>
    </row>
    <row r="38" spans="1:15" x14ac:dyDescent="0.25">
      <c r="A38" s="52" t="s">
        <v>4284</v>
      </c>
      <c r="B38" s="54" t="str">
        <f t="shared" si="0"/>
        <v>IC,OPAMP,DUAL,PRECISION,ANALOG DEVICES,AD822A,SO8</v>
      </c>
      <c r="C38" s="53" t="s">
        <v>15</v>
      </c>
      <c r="D38" s="53" t="s">
        <v>15</v>
      </c>
      <c r="E38" s="53" t="s">
        <v>15</v>
      </c>
      <c r="F38" s="53" t="s">
        <v>15</v>
      </c>
      <c r="G38" s="53" t="s">
        <v>4028</v>
      </c>
      <c r="H38" s="53" t="s">
        <v>1240</v>
      </c>
      <c r="I38" s="53" t="s">
        <v>1244</v>
      </c>
      <c r="J38" s="53" t="s">
        <v>1147</v>
      </c>
      <c r="K38" s="53" t="s">
        <v>1245</v>
      </c>
      <c r="L38" s="53" t="s">
        <v>15</v>
      </c>
      <c r="M38" s="53" t="s">
        <v>15</v>
      </c>
      <c r="N38" s="53" t="s">
        <v>1246</v>
      </c>
      <c r="O38" s="53" t="s">
        <v>15</v>
      </c>
    </row>
    <row r="39" spans="1:15" x14ac:dyDescent="0.25">
      <c r="A39" s="52" t="s">
        <v>4285</v>
      </c>
      <c r="B39" s="54" t="str">
        <f t="shared" si="0"/>
        <v>IC,OPAMP,DUAL,LINEAR TECHNOLOGIES,LT1490ACS8,SO8</v>
      </c>
      <c r="C39" s="53" t="s">
        <v>15</v>
      </c>
      <c r="D39" s="53" t="s">
        <v>15</v>
      </c>
      <c r="E39" s="53" t="s">
        <v>15</v>
      </c>
      <c r="F39" s="53" t="s">
        <v>15</v>
      </c>
      <c r="G39" s="53" t="s">
        <v>1182</v>
      </c>
      <c r="H39" s="53" t="s">
        <v>1247</v>
      </c>
      <c r="I39" s="53" t="s">
        <v>1248</v>
      </c>
      <c r="J39" s="53" t="s">
        <v>1147</v>
      </c>
      <c r="K39" s="53" t="s">
        <v>1249</v>
      </c>
      <c r="L39" s="53" t="s">
        <v>15</v>
      </c>
      <c r="M39" s="53" t="s">
        <v>15</v>
      </c>
      <c r="N39" s="53" t="s">
        <v>1179</v>
      </c>
      <c r="O39" s="53" t="s">
        <v>15</v>
      </c>
    </row>
    <row r="40" spans="1:15" x14ac:dyDescent="0.25">
      <c r="A40" s="52" t="s">
        <v>4286</v>
      </c>
      <c r="B40" s="54" t="str">
        <f t="shared" si="0"/>
        <v>IC,DAC,12-BIT,SPI,MICROCHIP,MCP4812E/SN,SO8</v>
      </c>
      <c r="C40" s="53" t="s">
        <v>15</v>
      </c>
      <c r="D40" s="53" t="s">
        <v>15</v>
      </c>
      <c r="E40" s="53" t="s">
        <v>15</v>
      </c>
      <c r="F40" s="53" t="s">
        <v>15</v>
      </c>
      <c r="G40" s="53" t="s">
        <v>4957</v>
      </c>
      <c r="H40" s="53" t="s">
        <v>939</v>
      </c>
      <c r="I40" s="53" t="s">
        <v>1250</v>
      </c>
      <c r="J40" s="53" t="s">
        <v>1147</v>
      </c>
      <c r="K40" s="53" t="s">
        <v>1251</v>
      </c>
      <c r="L40" s="53" t="s">
        <v>15</v>
      </c>
      <c r="M40" s="53" t="s">
        <v>15</v>
      </c>
      <c r="N40" s="53" t="s">
        <v>1252</v>
      </c>
      <c r="O40" s="53" t="s">
        <v>15</v>
      </c>
    </row>
    <row r="41" spans="1:15" x14ac:dyDescent="0.25">
      <c r="A41" s="52" t="s">
        <v>4287</v>
      </c>
      <c r="B41" s="54" t="str">
        <f t="shared" si="0"/>
        <v>IC,MEMORY,SPI,ISSI,IS25C08-2GLI,SO8</v>
      </c>
      <c r="C41" s="53" t="s">
        <v>15</v>
      </c>
      <c r="D41" s="53" t="s">
        <v>15</v>
      </c>
      <c r="E41" s="53" t="s">
        <v>15</v>
      </c>
      <c r="F41" s="53" t="s">
        <v>15</v>
      </c>
      <c r="G41" s="53" t="s">
        <v>4021</v>
      </c>
      <c r="H41" s="53" t="s">
        <v>1253</v>
      </c>
      <c r="I41" s="53" t="s">
        <v>1254</v>
      </c>
      <c r="J41" s="53" t="s">
        <v>1147</v>
      </c>
      <c r="K41" s="53" t="s">
        <v>1255</v>
      </c>
      <c r="L41" s="53" t="s">
        <v>15</v>
      </c>
      <c r="M41" s="53" t="s">
        <v>15</v>
      </c>
      <c r="N41" s="53" t="s">
        <v>1256</v>
      </c>
      <c r="O41" s="53" t="s">
        <v>15</v>
      </c>
    </row>
    <row r="42" spans="1:15" x14ac:dyDescent="0.25">
      <c r="A42" s="52" t="s">
        <v>4288</v>
      </c>
      <c r="B42" s="54" t="str">
        <f t="shared" si="0"/>
        <v>IC,REG,SWITCH,INVERT,LINEAR TECHNOLOGIES,LT1931,SOT25</v>
      </c>
      <c r="C42" s="53" t="s">
        <v>15</v>
      </c>
      <c r="D42" s="53" t="s">
        <v>15</v>
      </c>
      <c r="E42" s="53" t="s">
        <v>15</v>
      </c>
      <c r="F42" s="53" t="s">
        <v>15</v>
      </c>
      <c r="G42" s="53" t="s">
        <v>4029</v>
      </c>
      <c r="H42" s="53" t="s">
        <v>1247</v>
      </c>
      <c r="I42" s="53" t="s">
        <v>1257</v>
      </c>
      <c r="J42" s="53" t="s">
        <v>1169</v>
      </c>
      <c r="K42" s="53" t="s">
        <v>1258</v>
      </c>
      <c r="L42" s="53" t="s">
        <v>15</v>
      </c>
      <c r="M42" s="53" t="s">
        <v>15</v>
      </c>
      <c r="N42" s="53" t="s">
        <v>1259</v>
      </c>
      <c r="O42" s="53" t="s">
        <v>15</v>
      </c>
    </row>
    <row r="43" spans="1:15" x14ac:dyDescent="0.25">
      <c r="A43" s="52" t="s">
        <v>4289</v>
      </c>
      <c r="B43" s="54" t="str">
        <f t="shared" si="0"/>
        <v>IC,ADC,12-BIT,8CH,SPI,MICROCHIP,MCP3208-CI/SI,SO16</v>
      </c>
      <c r="C43" s="53" t="s">
        <v>15</v>
      </c>
      <c r="D43" s="53" t="s">
        <v>15</v>
      </c>
      <c r="E43" s="53" t="s">
        <v>15</v>
      </c>
      <c r="F43" s="53" t="s">
        <v>15</v>
      </c>
      <c r="G43" s="53" t="s">
        <v>4958</v>
      </c>
      <c r="H43" s="53" t="s">
        <v>939</v>
      </c>
      <c r="I43" s="53" t="s">
        <v>1260</v>
      </c>
      <c r="J43" s="53" t="s">
        <v>1261</v>
      </c>
      <c r="K43" s="53" t="s">
        <v>1262</v>
      </c>
      <c r="L43" s="53" t="s">
        <v>15</v>
      </c>
      <c r="M43" s="53" t="s">
        <v>15</v>
      </c>
      <c r="N43" s="53" t="s">
        <v>15</v>
      </c>
      <c r="O43" s="53" t="s">
        <v>15</v>
      </c>
    </row>
    <row r="44" spans="1:15" x14ac:dyDescent="0.25">
      <c r="A44" s="52" t="s">
        <v>4290</v>
      </c>
      <c r="B44" s="54" t="str">
        <f t="shared" si="0"/>
        <v>IC,,MICROCHIP,MCP4902-E/SL,SO14</v>
      </c>
      <c r="C44" s="53" t="s">
        <v>15</v>
      </c>
      <c r="D44" s="53" t="s">
        <v>15</v>
      </c>
      <c r="E44" s="53" t="s">
        <v>15</v>
      </c>
      <c r="F44" s="53" t="s">
        <v>15</v>
      </c>
      <c r="G44" s="53"/>
      <c r="H44" s="53" t="s">
        <v>939</v>
      </c>
      <c r="I44" s="53" t="s">
        <v>1263</v>
      </c>
      <c r="J44" s="53" t="s">
        <v>1194</v>
      </c>
      <c r="K44" s="53" t="s">
        <v>1264</v>
      </c>
      <c r="L44" s="53" t="s">
        <v>15</v>
      </c>
      <c r="M44" s="53" t="s">
        <v>15</v>
      </c>
      <c r="N44" s="53" t="s">
        <v>15</v>
      </c>
      <c r="O44" s="53" t="s">
        <v>15</v>
      </c>
    </row>
    <row r="45" spans="1:15" x14ac:dyDescent="0.25">
      <c r="A45" s="52" t="s">
        <v>4291</v>
      </c>
      <c r="B45" s="54" t="str">
        <f t="shared" si="0"/>
        <v>IC,,TI,LM2594M-3.3,SO8</v>
      </c>
      <c r="C45" s="53" t="s">
        <v>15</v>
      </c>
      <c r="D45" s="53" t="s">
        <v>15</v>
      </c>
      <c r="E45" s="53" t="s">
        <v>15</v>
      </c>
      <c r="F45" s="53" t="s">
        <v>15</v>
      </c>
      <c r="G45" s="53"/>
      <c r="H45" s="53" t="s">
        <v>1145</v>
      </c>
      <c r="I45" s="53" t="s">
        <v>1265</v>
      </c>
      <c r="J45" s="53" t="s">
        <v>1147</v>
      </c>
      <c r="K45" s="53" t="s">
        <v>1266</v>
      </c>
      <c r="L45" s="53" t="s">
        <v>15</v>
      </c>
      <c r="M45" s="53" t="s">
        <v>15</v>
      </c>
      <c r="N45" s="53" t="s">
        <v>15</v>
      </c>
      <c r="O45" s="53" t="s">
        <v>15</v>
      </c>
    </row>
    <row r="46" spans="1:15" x14ac:dyDescent="0.25">
      <c r="A46" s="52" t="s">
        <v>4292</v>
      </c>
      <c r="B46" s="54" t="str">
        <f t="shared" si="0"/>
        <v>IC,,MAXIM,MAX1036EKA+T,</v>
      </c>
      <c r="C46" s="53" t="s">
        <v>15</v>
      </c>
      <c r="D46" s="53" t="s">
        <v>15</v>
      </c>
      <c r="E46" s="53" t="s">
        <v>15</v>
      </c>
      <c r="F46" s="53" t="s">
        <v>15</v>
      </c>
      <c r="G46" s="53"/>
      <c r="H46" s="53" t="s">
        <v>1229</v>
      </c>
      <c r="I46" s="53" t="s">
        <v>1267</v>
      </c>
      <c r="J46" s="53" t="s">
        <v>15</v>
      </c>
      <c r="K46" s="53" t="s">
        <v>1268</v>
      </c>
      <c r="L46" s="53" t="s">
        <v>15</v>
      </c>
      <c r="M46" s="53" t="s">
        <v>15</v>
      </c>
      <c r="N46" s="53" t="s">
        <v>15</v>
      </c>
      <c r="O46" s="53" t="s">
        <v>15</v>
      </c>
    </row>
    <row r="47" spans="1:15" x14ac:dyDescent="0.25">
      <c r="A47" s="52" t="s">
        <v>4293</v>
      </c>
      <c r="B47" s="54" t="str">
        <f t="shared" si="0"/>
        <v>IC,,TI,LM2674M-ADJ,SO8</v>
      </c>
      <c r="C47" s="53" t="s">
        <v>15</v>
      </c>
      <c r="D47" s="53" t="s">
        <v>15</v>
      </c>
      <c r="E47" s="53" t="s">
        <v>15</v>
      </c>
      <c r="F47" s="53" t="s">
        <v>15</v>
      </c>
      <c r="G47" s="53"/>
      <c r="H47" s="53" t="s">
        <v>1145</v>
      </c>
      <c r="I47" s="53" t="s">
        <v>1269</v>
      </c>
      <c r="J47" s="53" t="s">
        <v>1147</v>
      </c>
      <c r="K47" s="53" t="s">
        <v>1270</v>
      </c>
      <c r="L47" s="53" t="s">
        <v>15</v>
      </c>
      <c r="M47" s="53" t="s">
        <v>15</v>
      </c>
      <c r="N47" s="53" t="s">
        <v>1176</v>
      </c>
      <c r="O47" s="53" t="s">
        <v>15</v>
      </c>
    </row>
    <row r="48" spans="1:15" x14ac:dyDescent="0.25">
      <c r="A48" s="52" t="s">
        <v>4294</v>
      </c>
      <c r="B48" s="54" t="str">
        <f t="shared" si="0"/>
        <v>IC,,LINEAR TECHNOLOGIES,LT1377,SO8</v>
      </c>
      <c r="C48" s="53" t="s">
        <v>15</v>
      </c>
      <c r="D48" s="53" t="s">
        <v>15</v>
      </c>
      <c r="E48" s="53" t="s">
        <v>15</v>
      </c>
      <c r="F48" s="53" t="s">
        <v>15</v>
      </c>
      <c r="G48" s="53"/>
      <c r="H48" s="53" t="s">
        <v>1247</v>
      </c>
      <c r="I48" s="53" t="s">
        <v>1271</v>
      </c>
      <c r="J48" s="53" t="s">
        <v>1147</v>
      </c>
      <c r="K48" s="53" t="s">
        <v>1272</v>
      </c>
      <c r="L48" s="53" t="s">
        <v>15</v>
      </c>
      <c r="M48" s="53" t="s">
        <v>15</v>
      </c>
      <c r="N48" s="53" t="s">
        <v>15</v>
      </c>
      <c r="O48" s="53" t="s">
        <v>15</v>
      </c>
    </row>
    <row r="49" spans="1:15" x14ac:dyDescent="0.25">
      <c r="A49" s="52" t="s">
        <v>4295</v>
      </c>
      <c r="B49" s="54" t="str">
        <f t="shared" si="0"/>
        <v>IC,,MAXIM,MAX5721EUA+,</v>
      </c>
      <c r="C49" s="53" t="s">
        <v>15</v>
      </c>
      <c r="D49" s="53" t="s">
        <v>15</v>
      </c>
      <c r="E49" s="53" t="s">
        <v>15</v>
      </c>
      <c r="F49" s="53" t="s">
        <v>15</v>
      </c>
      <c r="G49" s="53"/>
      <c r="H49" s="53" t="s">
        <v>1229</v>
      </c>
      <c r="I49" s="53" t="s">
        <v>1273</v>
      </c>
      <c r="J49" s="53" t="s">
        <v>15</v>
      </c>
      <c r="K49" s="53" t="s">
        <v>1274</v>
      </c>
      <c r="L49" s="53" t="s">
        <v>15</v>
      </c>
      <c r="M49" s="53" t="s">
        <v>15</v>
      </c>
      <c r="N49" s="53" t="s">
        <v>15</v>
      </c>
      <c r="O49" s="53" t="s">
        <v>15</v>
      </c>
    </row>
    <row r="50" spans="1:15" x14ac:dyDescent="0.25">
      <c r="A50" s="52" t="s">
        <v>4296</v>
      </c>
      <c r="B50" s="54" t="str">
        <f t="shared" si="0"/>
        <v>IC,,TI,TLC59161D,</v>
      </c>
      <c r="C50" s="53" t="s">
        <v>15</v>
      </c>
      <c r="D50" s="53" t="s">
        <v>15</v>
      </c>
      <c r="E50" s="53" t="s">
        <v>15</v>
      </c>
      <c r="F50" s="53" t="s">
        <v>15</v>
      </c>
      <c r="G50" s="53"/>
      <c r="H50" s="53" t="s">
        <v>1145</v>
      </c>
      <c r="I50" s="53" t="s">
        <v>1275</v>
      </c>
      <c r="J50" s="53" t="s">
        <v>15</v>
      </c>
      <c r="K50" s="53" t="s">
        <v>1276</v>
      </c>
      <c r="L50" s="53" t="s">
        <v>15</v>
      </c>
      <c r="M50" s="53" t="s">
        <v>15</v>
      </c>
      <c r="N50" s="53" t="s">
        <v>15</v>
      </c>
      <c r="O50" s="53" t="s">
        <v>15</v>
      </c>
    </row>
    <row r="51" spans="1:15" x14ac:dyDescent="0.25">
      <c r="A51" s="52" t="s">
        <v>4297</v>
      </c>
      <c r="B51" s="54" t="str">
        <f t="shared" si="0"/>
        <v>IC,,TI,TC55RP3302ECB713,SOT23</v>
      </c>
      <c r="C51" s="53" t="s">
        <v>15</v>
      </c>
      <c r="D51" s="53" t="s">
        <v>15</v>
      </c>
      <c r="E51" s="53" t="s">
        <v>15</v>
      </c>
      <c r="F51" s="53" t="s">
        <v>15</v>
      </c>
      <c r="G51" s="53"/>
      <c r="H51" s="53" t="s">
        <v>1145</v>
      </c>
      <c r="I51" s="53" t="s">
        <v>1277</v>
      </c>
      <c r="J51" s="53" t="s">
        <v>693</v>
      </c>
      <c r="K51" s="53" t="s">
        <v>1278</v>
      </c>
      <c r="L51" s="53" t="s">
        <v>15</v>
      </c>
      <c r="M51" s="53" t="s">
        <v>15</v>
      </c>
      <c r="N51" s="53" t="s">
        <v>15</v>
      </c>
      <c r="O51" s="53" t="s">
        <v>15</v>
      </c>
    </row>
    <row r="52" spans="1:15" x14ac:dyDescent="0.25">
      <c r="A52" s="52" t="s">
        <v>4298</v>
      </c>
      <c r="B52" s="54" t="str">
        <f t="shared" si="0"/>
        <v>IC,,TI, LM317EMP,SOT223</v>
      </c>
      <c r="C52" s="53" t="s">
        <v>15</v>
      </c>
      <c r="D52" s="53" t="s">
        <v>15</v>
      </c>
      <c r="E52" s="53" t="s">
        <v>15</v>
      </c>
      <c r="F52" s="53" t="s">
        <v>15</v>
      </c>
      <c r="G52" s="53"/>
      <c r="H52" s="53" t="s">
        <v>1145</v>
      </c>
      <c r="I52" s="53" t="s">
        <v>1279</v>
      </c>
      <c r="J52" s="53" t="s">
        <v>1280</v>
      </c>
      <c r="K52" s="53" t="s">
        <v>1281</v>
      </c>
      <c r="L52" s="53" t="s">
        <v>15</v>
      </c>
      <c r="M52" s="53" t="s">
        <v>15</v>
      </c>
      <c r="N52" s="53" t="s">
        <v>1176</v>
      </c>
      <c r="O52" s="53" t="s">
        <v>15</v>
      </c>
    </row>
    <row r="53" spans="1:15" x14ac:dyDescent="0.25">
      <c r="A53" s="52" t="s">
        <v>4299</v>
      </c>
      <c r="B53" s="54" t="str">
        <f t="shared" si="0"/>
        <v>IC,,TI,LMV331,SOT25</v>
      </c>
      <c r="C53" s="53" t="s">
        <v>15</v>
      </c>
      <c r="D53" s="53" t="s">
        <v>15</v>
      </c>
      <c r="E53" s="53" t="s">
        <v>15</v>
      </c>
      <c r="F53" s="53" t="s">
        <v>15</v>
      </c>
      <c r="G53" s="53"/>
      <c r="H53" s="53" t="s">
        <v>1145</v>
      </c>
      <c r="I53" s="53" t="s">
        <v>1282</v>
      </c>
      <c r="J53" s="53" t="s">
        <v>1169</v>
      </c>
      <c r="K53" s="53" t="s">
        <v>1283</v>
      </c>
      <c r="L53" s="53" t="s">
        <v>15</v>
      </c>
      <c r="M53" s="53" t="s">
        <v>15</v>
      </c>
      <c r="N53" s="53" t="s">
        <v>15</v>
      </c>
      <c r="O53" s="53" t="s">
        <v>15</v>
      </c>
    </row>
    <row r="54" spans="1:15" x14ac:dyDescent="0.25">
      <c r="A54" s="52" t="s">
        <v>4300</v>
      </c>
      <c r="B54" s="54" t="str">
        <f t="shared" si="0"/>
        <v>IC,,LINEAR TECHNOLOGIES,LT1004CDR-1-2,</v>
      </c>
      <c r="C54" s="53" t="s">
        <v>15</v>
      </c>
      <c r="D54" s="53" t="s">
        <v>15</v>
      </c>
      <c r="E54" s="53" t="s">
        <v>15</v>
      </c>
      <c r="F54" s="53" t="s">
        <v>15</v>
      </c>
      <c r="G54" s="53"/>
      <c r="H54" s="53" t="s">
        <v>1247</v>
      </c>
      <c r="I54" s="53" t="s">
        <v>1284</v>
      </c>
      <c r="J54" s="53" t="s">
        <v>15</v>
      </c>
      <c r="K54" s="53" t="s">
        <v>1285</v>
      </c>
      <c r="L54" s="53" t="s">
        <v>15</v>
      </c>
      <c r="M54" s="53" t="s">
        <v>15</v>
      </c>
      <c r="N54" s="53" t="s">
        <v>15</v>
      </c>
      <c r="O54" s="53" t="s">
        <v>15</v>
      </c>
    </row>
    <row r="55" spans="1:15" x14ac:dyDescent="0.25">
      <c r="A55" s="52" t="s">
        <v>4301</v>
      </c>
      <c r="B55" s="54" t="str">
        <f t="shared" si="0"/>
        <v>IC,,MICROCHIP,MCP4362-103E/ST,</v>
      </c>
      <c r="C55" s="53" t="s">
        <v>15</v>
      </c>
      <c r="D55" s="53" t="s">
        <v>15</v>
      </c>
      <c r="E55" s="53" t="s">
        <v>15</v>
      </c>
      <c r="F55" s="53" t="s">
        <v>15</v>
      </c>
      <c r="G55" s="53"/>
      <c r="H55" s="53" t="s">
        <v>939</v>
      </c>
      <c r="I55" s="53" t="s">
        <v>1286</v>
      </c>
      <c r="J55" s="53" t="s">
        <v>15</v>
      </c>
      <c r="K55" s="53" t="s">
        <v>1287</v>
      </c>
      <c r="L55" s="53" t="s">
        <v>15</v>
      </c>
      <c r="M55" s="53" t="s">
        <v>15</v>
      </c>
      <c r="N55" s="53" t="s">
        <v>15</v>
      </c>
      <c r="O55" s="53" t="s">
        <v>15</v>
      </c>
    </row>
    <row r="56" spans="1:15" x14ac:dyDescent="0.25">
      <c r="A56" s="52" t="s">
        <v>4302</v>
      </c>
      <c r="B56" s="54" t="str">
        <f t="shared" si="0"/>
        <v>IC,,TI,TLC5925IDBQR,</v>
      </c>
      <c r="C56" s="53" t="s">
        <v>15</v>
      </c>
      <c r="D56" s="53" t="s">
        <v>15</v>
      </c>
      <c r="E56" s="53" t="s">
        <v>15</v>
      </c>
      <c r="F56" s="53" t="s">
        <v>15</v>
      </c>
      <c r="G56" s="53"/>
      <c r="H56" s="53" t="s">
        <v>1145</v>
      </c>
      <c r="I56" s="53" t="s">
        <v>1288</v>
      </c>
      <c r="J56" s="53" t="s">
        <v>15</v>
      </c>
      <c r="K56" s="53" t="s">
        <v>1289</v>
      </c>
      <c r="L56" s="53" t="s">
        <v>15</v>
      </c>
      <c r="M56" s="53" t="s">
        <v>15</v>
      </c>
      <c r="N56" s="53" t="s">
        <v>15</v>
      </c>
      <c r="O56" s="53" t="s">
        <v>15</v>
      </c>
    </row>
    <row r="57" spans="1:15" x14ac:dyDescent="0.25">
      <c r="A57" s="52" t="s">
        <v>4303</v>
      </c>
      <c r="B57" s="54" t="str">
        <f t="shared" si="0"/>
        <v>IC,,MICROCHIP,MCP4161-10,</v>
      </c>
      <c r="C57" s="53" t="s">
        <v>15</v>
      </c>
      <c r="D57" s="53" t="s">
        <v>15</v>
      </c>
      <c r="E57" s="53" t="s">
        <v>15</v>
      </c>
      <c r="F57" s="53" t="s">
        <v>15</v>
      </c>
      <c r="G57" s="53"/>
      <c r="H57" s="53" t="s">
        <v>939</v>
      </c>
      <c r="I57" s="53" t="s">
        <v>1290</v>
      </c>
      <c r="J57" s="53" t="s">
        <v>15</v>
      </c>
      <c r="K57" s="53" t="s">
        <v>1291</v>
      </c>
      <c r="L57" s="53" t="s">
        <v>15</v>
      </c>
      <c r="M57" s="53" t="s">
        <v>15</v>
      </c>
      <c r="N57" s="53" t="s">
        <v>15</v>
      </c>
      <c r="O57" s="53" t="s">
        <v>15</v>
      </c>
    </row>
    <row r="58" spans="1:15" x14ac:dyDescent="0.25">
      <c r="A58" s="52" t="s">
        <v>4304</v>
      </c>
      <c r="B58" s="54" t="str">
        <f t="shared" si="0"/>
        <v>IC,,MICROCHIP,MCP73832T-2ACI/DT,</v>
      </c>
      <c r="C58" s="53" t="s">
        <v>15</v>
      </c>
      <c r="D58" s="53" t="s">
        <v>15</v>
      </c>
      <c r="E58" s="53" t="s">
        <v>15</v>
      </c>
      <c r="F58" s="53" t="s">
        <v>15</v>
      </c>
      <c r="G58" s="53"/>
      <c r="H58" s="53" t="s">
        <v>939</v>
      </c>
      <c r="I58" s="53" t="s">
        <v>1292</v>
      </c>
      <c r="J58" s="53" t="s">
        <v>15</v>
      </c>
      <c r="K58" s="53" t="s">
        <v>1293</v>
      </c>
      <c r="L58" s="53" t="s">
        <v>15</v>
      </c>
      <c r="M58" s="53" t="s">
        <v>15</v>
      </c>
      <c r="N58" s="53" t="s">
        <v>15</v>
      </c>
      <c r="O58" s="53" t="s">
        <v>15</v>
      </c>
    </row>
    <row r="59" spans="1:15" x14ac:dyDescent="0.25">
      <c r="A59" s="52" t="s">
        <v>4305</v>
      </c>
      <c r="B59" s="54" t="str">
        <f t="shared" si="0"/>
        <v>IC,,LINEAR TECHNOLOGIES,LT1490A,SO8</v>
      </c>
      <c r="C59" s="53" t="s">
        <v>15</v>
      </c>
      <c r="D59" s="53" t="s">
        <v>15</v>
      </c>
      <c r="E59" s="53" t="s">
        <v>15</v>
      </c>
      <c r="F59" s="53" t="s">
        <v>15</v>
      </c>
      <c r="G59" s="53"/>
      <c r="H59" s="53" t="s">
        <v>1247</v>
      </c>
      <c r="I59" s="53" t="s">
        <v>1294</v>
      </c>
      <c r="J59" s="53" t="s">
        <v>1147</v>
      </c>
      <c r="K59" s="53" t="s">
        <v>1295</v>
      </c>
      <c r="L59" s="53" t="s">
        <v>15</v>
      </c>
      <c r="M59" s="53" t="s">
        <v>15</v>
      </c>
      <c r="N59" s="53" t="s">
        <v>15</v>
      </c>
      <c r="O59" s="53" t="s">
        <v>15</v>
      </c>
    </row>
    <row r="60" spans="1:15" x14ac:dyDescent="0.25">
      <c r="A60" s="52" t="s">
        <v>4306</v>
      </c>
      <c r="B60" s="54" t="str">
        <f t="shared" si="0"/>
        <v>IC,,,AP7331-WG-7,</v>
      </c>
      <c r="C60" s="53" t="s">
        <v>15</v>
      </c>
      <c r="D60" s="53" t="s">
        <v>15</v>
      </c>
      <c r="E60" s="53" t="s">
        <v>15</v>
      </c>
      <c r="F60" s="53" t="s">
        <v>15</v>
      </c>
      <c r="G60" s="53"/>
      <c r="H60" s="53" t="s">
        <v>15</v>
      </c>
      <c r="I60" s="53" t="s">
        <v>1296</v>
      </c>
      <c r="J60" s="53" t="s">
        <v>15</v>
      </c>
      <c r="K60" s="53" t="s">
        <v>1297</v>
      </c>
      <c r="L60" s="53" t="s">
        <v>15</v>
      </c>
      <c r="M60" s="53" t="s">
        <v>15</v>
      </c>
      <c r="N60" s="53" t="s">
        <v>15</v>
      </c>
      <c r="O60" s="53" t="s">
        <v>15</v>
      </c>
    </row>
    <row r="61" spans="1:15" x14ac:dyDescent="0.25">
      <c r="A61" s="52" t="s">
        <v>4307</v>
      </c>
      <c r="B61" s="54" t="str">
        <f t="shared" si="0"/>
        <v>IC,,LINEAR TECHNOLOGIES,LT1930AES5,</v>
      </c>
      <c r="C61" s="53" t="s">
        <v>15</v>
      </c>
      <c r="D61" s="53" t="s">
        <v>15</v>
      </c>
      <c r="E61" s="53" t="s">
        <v>15</v>
      </c>
      <c r="F61" s="53" t="s">
        <v>15</v>
      </c>
      <c r="G61" s="53"/>
      <c r="H61" s="53" t="s">
        <v>1247</v>
      </c>
      <c r="I61" s="53" t="s">
        <v>1298</v>
      </c>
      <c r="J61" s="53" t="s">
        <v>15</v>
      </c>
      <c r="K61" s="53" t="s">
        <v>1299</v>
      </c>
      <c r="L61" s="53" t="s">
        <v>15</v>
      </c>
      <c r="M61" s="53" t="s">
        <v>15</v>
      </c>
      <c r="N61" s="53" t="s">
        <v>15</v>
      </c>
      <c r="O61" s="53" t="s">
        <v>15</v>
      </c>
    </row>
    <row r="62" spans="1:15" x14ac:dyDescent="0.25">
      <c r="A62" s="52" t="s">
        <v>4308</v>
      </c>
      <c r="B62" s="54" t="str">
        <f t="shared" si="0"/>
        <v>IC,,TI,LM4041DEM3-ADJ/NOPB,SOT23</v>
      </c>
      <c r="C62" s="53" t="s">
        <v>15</v>
      </c>
      <c r="D62" s="53" t="s">
        <v>15</v>
      </c>
      <c r="E62" s="53" t="s">
        <v>15</v>
      </c>
      <c r="F62" s="53" t="s">
        <v>15</v>
      </c>
      <c r="G62" s="53"/>
      <c r="H62" s="53" t="s">
        <v>1145</v>
      </c>
      <c r="I62" s="53" t="s">
        <v>1300</v>
      </c>
      <c r="J62" s="53" t="s">
        <v>693</v>
      </c>
      <c r="K62" s="53" t="s">
        <v>1301</v>
      </c>
      <c r="L62" s="53" t="s">
        <v>15</v>
      </c>
      <c r="M62" s="53" t="s">
        <v>15</v>
      </c>
      <c r="N62" s="53" t="s">
        <v>1176</v>
      </c>
      <c r="O62" s="53" t="s">
        <v>15</v>
      </c>
    </row>
    <row r="63" spans="1:15" x14ac:dyDescent="0.25">
      <c r="A63" s="52" t="s">
        <v>4309</v>
      </c>
      <c r="B63" s="54" t="str">
        <f t="shared" si="0"/>
        <v>IC,,TI,LM431ACM,SO8</v>
      </c>
      <c r="C63" s="53" t="s">
        <v>15</v>
      </c>
      <c r="D63" s="53" t="s">
        <v>15</v>
      </c>
      <c r="E63" s="53" t="s">
        <v>15</v>
      </c>
      <c r="F63" s="53" t="s">
        <v>15</v>
      </c>
      <c r="G63" s="53"/>
      <c r="H63" s="53" t="s">
        <v>1145</v>
      </c>
      <c r="I63" s="53" t="s">
        <v>1302</v>
      </c>
      <c r="J63" s="53" t="s">
        <v>1147</v>
      </c>
      <c r="K63" s="53" t="s">
        <v>1303</v>
      </c>
      <c r="L63" s="53" t="s">
        <v>15</v>
      </c>
      <c r="M63" s="53" t="s">
        <v>15</v>
      </c>
      <c r="N63" s="53" t="s">
        <v>15</v>
      </c>
      <c r="O63" s="53" t="s">
        <v>15</v>
      </c>
    </row>
    <row r="64" spans="1:15" x14ac:dyDescent="0.25">
      <c r="A64" s="52" t="s">
        <v>4310</v>
      </c>
      <c r="B64" s="54" t="str">
        <f t="shared" si="0"/>
        <v>IC,,LINEAR TECHNOLOGIES,LT1372I,SO8</v>
      </c>
      <c r="C64" s="53" t="s">
        <v>15</v>
      </c>
      <c r="D64" s="53" t="s">
        <v>15</v>
      </c>
      <c r="E64" s="53" t="s">
        <v>15</v>
      </c>
      <c r="F64" s="53" t="s">
        <v>15</v>
      </c>
      <c r="G64" s="53"/>
      <c r="H64" s="53" t="s">
        <v>1247</v>
      </c>
      <c r="I64" s="53" t="s">
        <v>1304</v>
      </c>
      <c r="J64" s="53" t="s">
        <v>1147</v>
      </c>
      <c r="K64" s="53" t="s">
        <v>1305</v>
      </c>
      <c r="L64" s="53" t="s">
        <v>15</v>
      </c>
      <c r="M64" s="53" t="s">
        <v>15</v>
      </c>
      <c r="N64" s="53" t="s">
        <v>15</v>
      </c>
      <c r="O64" s="53" t="s">
        <v>15</v>
      </c>
    </row>
    <row r="65" spans="1:15" x14ac:dyDescent="0.25">
      <c r="A65" s="52" t="s">
        <v>4311</v>
      </c>
      <c r="B65" s="54" t="str">
        <f t="shared" si="0"/>
        <v>IC,,MAXIM,MAX1651ESA,SO8</v>
      </c>
      <c r="C65" s="53" t="s">
        <v>15</v>
      </c>
      <c r="D65" s="53" t="s">
        <v>15</v>
      </c>
      <c r="E65" s="53" t="s">
        <v>15</v>
      </c>
      <c r="F65" s="53" t="s">
        <v>15</v>
      </c>
      <c r="G65" s="53"/>
      <c r="H65" s="53" t="s">
        <v>1229</v>
      </c>
      <c r="I65" s="53" t="s">
        <v>1306</v>
      </c>
      <c r="J65" s="53" t="s">
        <v>1147</v>
      </c>
      <c r="K65" s="53" t="s">
        <v>1307</v>
      </c>
      <c r="L65" s="53" t="s">
        <v>15</v>
      </c>
      <c r="M65" s="53" t="s">
        <v>15</v>
      </c>
      <c r="N65" s="53" t="s">
        <v>15</v>
      </c>
      <c r="O65" s="53" t="s">
        <v>15</v>
      </c>
    </row>
    <row r="66" spans="1:15" x14ac:dyDescent="0.25">
      <c r="A66" s="52" t="s">
        <v>4312</v>
      </c>
      <c r="B66" s="54" t="str">
        <f t="shared" si="0"/>
        <v>IC,,FTDI,FT245BM,</v>
      </c>
      <c r="C66" s="53" t="s">
        <v>15</v>
      </c>
      <c r="D66" s="53" t="s">
        <v>15</v>
      </c>
      <c r="E66" s="53" t="s">
        <v>15</v>
      </c>
      <c r="F66" s="53" t="s">
        <v>15</v>
      </c>
      <c r="G66" s="53"/>
      <c r="H66" s="53" t="s">
        <v>1308</v>
      </c>
      <c r="I66" s="53" t="s">
        <v>1309</v>
      </c>
      <c r="J66" s="53" t="s">
        <v>15</v>
      </c>
      <c r="K66" s="53" t="s">
        <v>1310</v>
      </c>
      <c r="L66" s="53" t="s">
        <v>15</v>
      </c>
      <c r="M66" s="53" t="s">
        <v>15</v>
      </c>
      <c r="N66" s="53" t="s">
        <v>15</v>
      </c>
      <c r="O66" s="53" t="s">
        <v>15</v>
      </c>
    </row>
    <row r="67" spans="1:15" x14ac:dyDescent="0.25">
      <c r="A67" s="52" t="s">
        <v>4313</v>
      </c>
      <c r="B67" s="54" t="str">
        <f t="shared" ref="B67:B130" si="1">_xlfn.CONCAT("IC,",G67,",",H67,",",I67,",",J67)</f>
        <v>IC,,XILINX,XC9536,</v>
      </c>
      <c r="C67" s="53" t="s">
        <v>15</v>
      </c>
      <c r="D67" s="53" t="s">
        <v>15</v>
      </c>
      <c r="E67" s="53" t="s">
        <v>15</v>
      </c>
      <c r="F67" s="53" t="s">
        <v>15</v>
      </c>
      <c r="G67" s="53"/>
      <c r="H67" s="53" t="s">
        <v>1311</v>
      </c>
      <c r="I67" s="53" t="s">
        <v>1312</v>
      </c>
      <c r="J67" s="53" t="s">
        <v>15</v>
      </c>
      <c r="K67" s="53" t="s">
        <v>1313</v>
      </c>
      <c r="L67" s="53" t="s">
        <v>15</v>
      </c>
      <c r="M67" s="53" t="s">
        <v>15</v>
      </c>
      <c r="N67" s="53" t="s">
        <v>15</v>
      </c>
      <c r="O67" s="53" t="s">
        <v>15</v>
      </c>
    </row>
    <row r="68" spans="1:15" x14ac:dyDescent="0.25">
      <c r="A68" s="52" t="s">
        <v>4314</v>
      </c>
      <c r="B68" s="54" t="str">
        <f t="shared" si="1"/>
        <v>IC,,FTDI,FT2232C,</v>
      </c>
      <c r="C68" s="53" t="s">
        <v>15</v>
      </c>
      <c r="D68" s="53" t="s">
        <v>15</v>
      </c>
      <c r="E68" s="53" t="s">
        <v>15</v>
      </c>
      <c r="F68" s="53" t="s">
        <v>15</v>
      </c>
      <c r="G68" s="53"/>
      <c r="H68" s="53" t="s">
        <v>1308</v>
      </c>
      <c r="I68" s="53" t="s">
        <v>1314</v>
      </c>
      <c r="J68" s="53" t="s">
        <v>15</v>
      </c>
      <c r="K68" s="53" t="s">
        <v>1315</v>
      </c>
      <c r="L68" s="53" t="s">
        <v>15</v>
      </c>
      <c r="M68" s="53" t="s">
        <v>15</v>
      </c>
      <c r="N68" s="53" t="s">
        <v>15</v>
      </c>
      <c r="O68" s="53" t="s">
        <v>15</v>
      </c>
    </row>
    <row r="69" spans="1:15" x14ac:dyDescent="0.25">
      <c r="A69" s="52" t="s">
        <v>4315</v>
      </c>
      <c r="B69" s="54" t="str">
        <f t="shared" si="1"/>
        <v>IC,,MITSUBISHI,M5M5V416BTP-70,</v>
      </c>
      <c r="C69" s="53" t="s">
        <v>15</v>
      </c>
      <c r="D69" s="53" t="s">
        <v>15</v>
      </c>
      <c r="E69" s="53" t="s">
        <v>15</v>
      </c>
      <c r="F69" s="53" t="s">
        <v>15</v>
      </c>
      <c r="G69" s="53"/>
      <c r="H69" s="53" t="s">
        <v>1316</v>
      </c>
      <c r="I69" s="53" t="s">
        <v>1317</v>
      </c>
      <c r="J69" s="53" t="s">
        <v>15</v>
      </c>
      <c r="K69" s="53" t="s">
        <v>1318</v>
      </c>
      <c r="L69" s="53" t="s">
        <v>15</v>
      </c>
      <c r="M69" s="53" t="s">
        <v>15</v>
      </c>
      <c r="N69" s="53" t="s">
        <v>15</v>
      </c>
      <c r="O69" s="53" t="s">
        <v>15</v>
      </c>
    </row>
    <row r="70" spans="1:15" x14ac:dyDescent="0.25">
      <c r="A70" s="52" t="s">
        <v>4316</v>
      </c>
      <c r="B70" s="54" t="str">
        <f t="shared" si="1"/>
        <v>IC,,ATMEL,AT89C52,PLCC44</v>
      </c>
      <c r="C70" s="53" t="s">
        <v>15</v>
      </c>
      <c r="D70" s="53" t="s">
        <v>15</v>
      </c>
      <c r="E70" s="53" t="s">
        <v>15</v>
      </c>
      <c r="F70" s="53" t="s">
        <v>15</v>
      </c>
      <c r="G70" s="53"/>
      <c r="H70" s="53" t="s">
        <v>1236</v>
      </c>
      <c r="I70" s="53" t="s">
        <v>1319</v>
      </c>
      <c r="J70" s="53" t="s">
        <v>1320</v>
      </c>
      <c r="K70" s="53" t="s">
        <v>1321</v>
      </c>
      <c r="L70" s="53" t="s">
        <v>15</v>
      </c>
      <c r="M70" s="53" t="s">
        <v>15</v>
      </c>
      <c r="N70" s="53" t="s">
        <v>15</v>
      </c>
      <c r="O70" s="53" t="s">
        <v>15</v>
      </c>
    </row>
    <row r="71" spans="1:15" x14ac:dyDescent="0.25">
      <c r="A71" s="52" t="s">
        <v>4317</v>
      </c>
      <c r="B71" s="54" t="str">
        <f t="shared" si="1"/>
        <v>IC,,MICROCHIP,93C46BI/SN0402,SO8</v>
      </c>
      <c r="C71" s="53" t="s">
        <v>15</v>
      </c>
      <c r="D71" s="53" t="s">
        <v>15</v>
      </c>
      <c r="E71" s="53" t="s">
        <v>15</v>
      </c>
      <c r="F71" s="53" t="s">
        <v>15</v>
      </c>
      <c r="G71" s="53"/>
      <c r="H71" s="53" t="s">
        <v>939</v>
      </c>
      <c r="I71" s="53" t="s">
        <v>1322</v>
      </c>
      <c r="J71" s="53" t="s">
        <v>1147</v>
      </c>
      <c r="K71" s="53" t="s">
        <v>1323</v>
      </c>
      <c r="L71" s="53" t="s">
        <v>15</v>
      </c>
      <c r="M71" s="53" t="s">
        <v>15</v>
      </c>
      <c r="N71" s="53" t="s">
        <v>15</v>
      </c>
      <c r="O71" s="53" t="s">
        <v>15</v>
      </c>
    </row>
    <row r="72" spans="1:15" x14ac:dyDescent="0.25">
      <c r="A72" s="52" t="s">
        <v>4318</v>
      </c>
      <c r="B72" s="54" t="str">
        <f t="shared" si="1"/>
        <v>IC,,MAXIM,MAX213CWI,</v>
      </c>
      <c r="C72" s="53" t="s">
        <v>15</v>
      </c>
      <c r="D72" s="53" t="s">
        <v>15</v>
      </c>
      <c r="E72" s="53" t="s">
        <v>15</v>
      </c>
      <c r="F72" s="53" t="s">
        <v>15</v>
      </c>
      <c r="G72" s="53"/>
      <c r="H72" s="53" t="s">
        <v>1229</v>
      </c>
      <c r="I72" s="53" t="s">
        <v>1324</v>
      </c>
      <c r="J72" s="53" t="s">
        <v>15</v>
      </c>
      <c r="K72" s="53" t="s">
        <v>1325</v>
      </c>
      <c r="L72" s="53" t="s">
        <v>15</v>
      </c>
      <c r="M72" s="53" t="s">
        <v>15</v>
      </c>
      <c r="N72" s="53" t="s">
        <v>15</v>
      </c>
      <c r="O72" s="53" t="s">
        <v>15</v>
      </c>
    </row>
    <row r="73" spans="1:15" x14ac:dyDescent="0.25">
      <c r="A73" s="52" t="s">
        <v>4319</v>
      </c>
      <c r="B73" s="54" t="str">
        <f t="shared" si="1"/>
        <v>IC,,MAXIM,MAX509BCPW,</v>
      </c>
      <c r="C73" s="53" t="s">
        <v>15</v>
      </c>
      <c r="D73" s="53" t="s">
        <v>15</v>
      </c>
      <c r="E73" s="53" t="s">
        <v>15</v>
      </c>
      <c r="F73" s="53" t="s">
        <v>15</v>
      </c>
      <c r="G73" s="53"/>
      <c r="H73" s="53" t="s">
        <v>1229</v>
      </c>
      <c r="I73" s="53" t="s">
        <v>1326</v>
      </c>
      <c r="J73" s="53" t="s">
        <v>15</v>
      </c>
      <c r="K73" s="53" t="s">
        <v>1327</v>
      </c>
      <c r="L73" s="53" t="s">
        <v>15</v>
      </c>
      <c r="M73" s="53" t="s">
        <v>15</v>
      </c>
      <c r="N73" s="53" t="s">
        <v>15</v>
      </c>
      <c r="O73" s="53" t="s">
        <v>15</v>
      </c>
    </row>
    <row r="74" spans="1:15" x14ac:dyDescent="0.25">
      <c r="A74" s="52" t="s">
        <v>4320</v>
      </c>
      <c r="B74" s="54" t="str">
        <f t="shared" si="1"/>
        <v>IC,,ATMEL,AT27C256R-70RC,</v>
      </c>
      <c r="C74" s="53" t="s">
        <v>15</v>
      </c>
      <c r="D74" s="53" t="s">
        <v>15</v>
      </c>
      <c r="E74" s="53" t="s">
        <v>15</v>
      </c>
      <c r="F74" s="53" t="s">
        <v>15</v>
      </c>
      <c r="G74" s="53"/>
      <c r="H74" s="53" t="s">
        <v>1236</v>
      </c>
      <c r="I74" s="53" t="s">
        <v>1328</v>
      </c>
      <c r="J74" s="53" t="s">
        <v>15</v>
      </c>
      <c r="K74" s="53" t="s">
        <v>1329</v>
      </c>
      <c r="L74" s="53" t="s">
        <v>15</v>
      </c>
      <c r="M74" s="53" t="s">
        <v>15</v>
      </c>
      <c r="N74" s="53" t="s">
        <v>1256</v>
      </c>
      <c r="O74" s="53" t="s">
        <v>15</v>
      </c>
    </row>
    <row r="75" spans="1:15" x14ac:dyDescent="0.25">
      <c r="A75" s="52" t="s">
        <v>4321</v>
      </c>
      <c r="B75" s="54" t="str">
        <f t="shared" si="1"/>
        <v>IC,,ATMEL,ATTINY45,SO8</v>
      </c>
      <c r="C75" s="53" t="s">
        <v>15</v>
      </c>
      <c r="D75" s="53" t="s">
        <v>15</v>
      </c>
      <c r="E75" s="53" t="s">
        <v>15</v>
      </c>
      <c r="F75" s="53" t="s">
        <v>15</v>
      </c>
      <c r="G75" s="53"/>
      <c r="H75" s="53" t="s">
        <v>1236</v>
      </c>
      <c r="I75" s="53" t="s">
        <v>1330</v>
      </c>
      <c r="J75" s="53" t="s">
        <v>1147</v>
      </c>
      <c r="K75" s="53" t="s">
        <v>1331</v>
      </c>
      <c r="L75" s="53" t="s">
        <v>15</v>
      </c>
      <c r="M75" s="53" t="s">
        <v>15</v>
      </c>
      <c r="N75" s="53" t="s">
        <v>1332</v>
      </c>
      <c r="O75" s="53" t="s">
        <v>15</v>
      </c>
    </row>
    <row r="76" spans="1:15" x14ac:dyDescent="0.25">
      <c r="A76" s="52" t="s">
        <v>4322</v>
      </c>
      <c r="B76" s="54" t="str">
        <f t="shared" si="1"/>
        <v>IC,,NXP,PCF8563,SO8</v>
      </c>
      <c r="C76" s="53" t="s">
        <v>15</v>
      </c>
      <c r="D76" s="53" t="s">
        <v>15</v>
      </c>
      <c r="E76" s="53" t="s">
        <v>15</v>
      </c>
      <c r="F76" s="53" t="s">
        <v>15</v>
      </c>
      <c r="G76" s="53"/>
      <c r="H76" s="53" t="s">
        <v>699</v>
      </c>
      <c r="I76" s="53" t="s">
        <v>1333</v>
      </c>
      <c r="J76" s="53" t="s">
        <v>1147</v>
      </c>
      <c r="K76" s="53" t="s">
        <v>1334</v>
      </c>
      <c r="L76" s="53" t="s">
        <v>15</v>
      </c>
      <c r="M76" s="53" t="s">
        <v>15</v>
      </c>
      <c r="N76" s="53" t="s">
        <v>15</v>
      </c>
      <c r="O76" s="53" t="s">
        <v>15</v>
      </c>
    </row>
    <row r="77" spans="1:15" x14ac:dyDescent="0.25">
      <c r="A77" s="52" t="s">
        <v>4323</v>
      </c>
      <c r="B77" s="54" t="str">
        <f t="shared" si="1"/>
        <v>IC,,NXP,74LCX08MTR,</v>
      </c>
      <c r="C77" s="53" t="s">
        <v>15</v>
      </c>
      <c r="D77" s="53" t="s">
        <v>15</v>
      </c>
      <c r="E77" s="53" t="s">
        <v>15</v>
      </c>
      <c r="F77" s="53" t="s">
        <v>15</v>
      </c>
      <c r="G77" s="53"/>
      <c r="H77" s="53" t="s">
        <v>699</v>
      </c>
      <c r="I77" s="53" t="s">
        <v>1335</v>
      </c>
      <c r="J77" s="53" t="s">
        <v>15</v>
      </c>
      <c r="K77" s="53" t="s">
        <v>1336</v>
      </c>
      <c r="L77" s="53" t="s">
        <v>15</v>
      </c>
      <c r="M77" s="53" t="s">
        <v>15</v>
      </c>
      <c r="N77" s="53" t="s">
        <v>1337</v>
      </c>
      <c r="O77" s="53" t="s">
        <v>15</v>
      </c>
    </row>
    <row r="78" spans="1:15" x14ac:dyDescent="0.25">
      <c r="A78" s="52" t="s">
        <v>4324</v>
      </c>
      <c r="B78" s="54" t="str">
        <f t="shared" si="1"/>
        <v>IC,,NXP,PCA9534DB,TSSOP16</v>
      </c>
      <c r="C78" s="53" t="s">
        <v>15</v>
      </c>
      <c r="D78" s="53" t="s">
        <v>15</v>
      </c>
      <c r="E78" s="53" t="s">
        <v>15</v>
      </c>
      <c r="F78" s="53" t="s">
        <v>15</v>
      </c>
      <c r="G78" s="53"/>
      <c r="H78" s="53" t="s">
        <v>699</v>
      </c>
      <c r="I78" s="53" t="s">
        <v>1338</v>
      </c>
      <c r="J78" s="53" t="s">
        <v>1339</v>
      </c>
      <c r="K78" s="53" t="s">
        <v>1340</v>
      </c>
      <c r="L78" s="53" t="s">
        <v>15</v>
      </c>
      <c r="M78" s="53" t="s">
        <v>15</v>
      </c>
      <c r="N78" s="53" t="s">
        <v>15</v>
      </c>
      <c r="O78" s="53" t="s">
        <v>15</v>
      </c>
    </row>
    <row r="79" spans="1:15" x14ac:dyDescent="0.25">
      <c r="A79" s="52" t="s">
        <v>4325</v>
      </c>
      <c r="B79" s="54" t="str">
        <f t="shared" si="1"/>
        <v>IC,,TI,TLC272,SO8</v>
      </c>
      <c r="C79" s="53" t="s">
        <v>15</v>
      </c>
      <c r="D79" s="53" t="s">
        <v>15</v>
      </c>
      <c r="E79" s="53" t="s">
        <v>15</v>
      </c>
      <c r="F79" s="53" t="s">
        <v>15</v>
      </c>
      <c r="G79" s="53"/>
      <c r="H79" s="53" t="s">
        <v>1145</v>
      </c>
      <c r="I79" s="53" t="s">
        <v>1341</v>
      </c>
      <c r="J79" s="53" t="s">
        <v>1147</v>
      </c>
      <c r="K79" s="53" t="s">
        <v>1342</v>
      </c>
      <c r="L79" s="53" t="s">
        <v>15</v>
      </c>
      <c r="M79" s="53" t="s">
        <v>15</v>
      </c>
      <c r="N79" s="53" t="s">
        <v>15</v>
      </c>
      <c r="O79" s="53" t="s">
        <v>15</v>
      </c>
    </row>
    <row r="80" spans="1:15" x14ac:dyDescent="0.25">
      <c r="A80" s="52" t="s">
        <v>4326</v>
      </c>
      <c r="B80" s="54" t="str">
        <f t="shared" si="1"/>
        <v>IC,,TI,74HCT573,SO20W</v>
      </c>
      <c r="C80" s="53" t="s">
        <v>15</v>
      </c>
      <c r="D80" s="53" t="s">
        <v>15</v>
      </c>
      <c r="E80" s="53" t="s">
        <v>15</v>
      </c>
      <c r="F80" s="53" t="s">
        <v>15</v>
      </c>
      <c r="G80" s="53"/>
      <c r="H80" s="53" t="s">
        <v>1145</v>
      </c>
      <c r="I80" s="53" t="s">
        <v>1343</v>
      </c>
      <c r="J80" s="53" t="s">
        <v>1344</v>
      </c>
      <c r="K80" s="53" t="s">
        <v>1345</v>
      </c>
      <c r="L80" s="53" t="s">
        <v>15</v>
      </c>
      <c r="M80" s="53" t="s">
        <v>15</v>
      </c>
      <c r="N80" s="53" t="s">
        <v>1337</v>
      </c>
      <c r="O80" s="53" t="s">
        <v>15</v>
      </c>
    </row>
    <row r="81" spans="1:15" x14ac:dyDescent="0.25">
      <c r="A81" s="52" t="s">
        <v>4327</v>
      </c>
      <c r="B81" s="54" t="str">
        <f t="shared" si="1"/>
        <v>IC,,ST,74HCT244,SO20W</v>
      </c>
      <c r="C81" s="53" t="s">
        <v>15</v>
      </c>
      <c r="D81" s="53" t="s">
        <v>15</v>
      </c>
      <c r="E81" s="53" t="s">
        <v>15</v>
      </c>
      <c r="F81" s="53" t="s">
        <v>15</v>
      </c>
      <c r="G81" s="53"/>
      <c r="H81" s="53" t="s">
        <v>807</v>
      </c>
      <c r="I81" s="53" t="s">
        <v>1346</v>
      </c>
      <c r="J81" s="53" t="s">
        <v>1344</v>
      </c>
      <c r="K81" s="53" t="s">
        <v>1347</v>
      </c>
      <c r="L81" s="53" t="s">
        <v>15</v>
      </c>
      <c r="M81" s="53" t="s">
        <v>15</v>
      </c>
      <c r="N81" s="53" t="s">
        <v>1337</v>
      </c>
      <c r="O81" s="53" t="s">
        <v>15</v>
      </c>
    </row>
    <row r="82" spans="1:15" x14ac:dyDescent="0.25">
      <c r="A82" s="52" t="s">
        <v>4328</v>
      </c>
      <c r="B82" s="54" t="str">
        <f t="shared" si="1"/>
        <v>IC,,FAIRCHILD,74LCX86,TSSOP14</v>
      </c>
      <c r="C82" s="53" t="s">
        <v>15</v>
      </c>
      <c r="D82" s="53" t="s">
        <v>15</v>
      </c>
      <c r="E82" s="53" t="s">
        <v>15</v>
      </c>
      <c r="F82" s="53" t="s">
        <v>15</v>
      </c>
      <c r="G82" s="53"/>
      <c r="H82" s="53" t="s">
        <v>764</v>
      </c>
      <c r="I82" s="53" t="s">
        <v>1348</v>
      </c>
      <c r="J82" s="53" t="s">
        <v>1198</v>
      </c>
      <c r="K82" s="53" t="s">
        <v>1349</v>
      </c>
      <c r="L82" s="53" t="s">
        <v>15</v>
      </c>
      <c r="M82" s="53" t="s">
        <v>15</v>
      </c>
      <c r="N82" s="53" t="s">
        <v>1337</v>
      </c>
      <c r="O82" s="53" t="s">
        <v>15</v>
      </c>
    </row>
    <row r="83" spans="1:15" x14ac:dyDescent="0.25">
      <c r="A83" s="52" t="s">
        <v>4329</v>
      </c>
      <c r="B83" s="54" t="str">
        <f t="shared" si="1"/>
        <v>IC,,FAIRCHILD,74LCX573 74HC573,TSSOP20</v>
      </c>
      <c r="C83" s="53" t="s">
        <v>15</v>
      </c>
      <c r="D83" s="53" t="s">
        <v>15</v>
      </c>
      <c r="E83" s="53" t="s">
        <v>15</v>
      </c>
      <c r="F83" s="53" t="s">
        <v>15</v>
      </c>
      <c r="G83" s="53"/>
      <c r="H83" s="53" t="s">
        <v>764</v>
      </c>
      <c r="I83" s="53" t="s">
        <v>1350</v>
      </c>
      <c r="J83" s="53" t="s">
        <v>1351</v>
      </c>
      <c r="K83" s="53" t="s">
        <v>1352</v>
      </c>
      <c r="L83" s="53" t="s">
        <v>15</v>
      </c>
      <c r="M83" s="53" t="s">
        <v>15</v>
      </c>
      <c r="N83" s="53" t="s">
        <v>1337</v>
      </c>
      <c r="O83" s="53" t="s">
        <v>15</v>
      </c>
    </row>
    <row r="84" spans="1:15" x14ac:dyDescent="0.25">
      <c r="A84" s="52" t="s">
        <v>4330</v>
      </c>
      <c r="B84" s="54" t="str">
        <f t="shared" si="1"/>
        <v>IC,LOGIC,QUAD NAND,FAIRCHIL,74VHC00,SO14</v>
      </c>
      <c r="C84" s="53" t="s">
        <v>15</v>
      </c>
      <c r="D84" s="53" t="s">
        <v>15</v>
      </c>
      <c r="E84" s="53" t="s">
        <v>15</v>
      </c>
      <c r="F84" s="53" t="s">
        <v>15</v>
      </c>
      <c r="G84" s="53" t="s">
        <v>4959</v>
      </c>
      <c r="H84" s="53" t="s">
        <v>1353</v>
      </c>
      <c r="I84" s="53" t="s">
        <v>1354</v>
      </c>
      <c r="J84" s="53" t="s">
        <v>1194</v>
      </c>
      <c r="K84" s="53" t="s">
        <v>1355</v>
      </c>
      <c r="L84" s="53" t="s">
        <v>15</v>
      </c>
      <c r="M84" s="53" t="s">
        <v>15</v>
      </c>
      <c r="N84" s="53" t="s">
        <v>1337</v>
      </c>
      <c r="O84" s="53" t="s">
        <v>15</v>
      </c>
    </row>
    <row r="85" spans="1:15" x14ac:dyDescent="0.25">
      <c r="A85" s="52" t="s">
        <v>4331</v>
      </c>
      <c r="B85" s="54" t="str">
        <f t="shared" si="1"/>
        <v>IC,LOGIC,QUAD NAND,NXP,74HCT00,SO14</v>
      </c>
      <c r="C85" s="53" t="s">
        <v>15</v>
      </c>
      <c r="D85" s="53" t="s">
        <v>15</v>
      </c>
      <c r="E85" s="53" t="s">
        <v>15</v>
      </c>
      <c r="F85" s="53" t="s">
        <v>15</v>
      </c>
      <c r="G85" s="53" t="s">
        <v>4959</v>
      </c>
      <c r="H85" s="53" t="s">
        <v>699</v>
      </c>
      <c r="I85" s="53" t="s">
        <v>1356</v>
      </c>
      <c r="J85" s="53" t="s">
        <v>1194</v>
      </c>
      <c r="K85" s="53" t="s">
        <v>1355</v>
      </c>
      <c r="L85" s="53" t="s">
        <v>15</v>
      </c>
      <c r="M85" s="53" t="s">
        <v>15</v>
      </c>
      <c r="N85" s="53" t="s">
        <v>1337</v>
      </c>
      <c r="O85" s="53" t="s">
        <v>15</v>
      </c>
    </row>
    <row r="86" spans="1:15" x14ac:dyDescent="0.25">
      <c r="A86" s="52" t="s">
        <v>4332</v>
      </c>
      <c r="B86" s="54" t="str">
        <f t="shared" si="1"/>
        <v>IC,,ST,74HC573,TSSOP20</v>
      </c>
      <c r="C86" s="53" t="s">
        <v>15</v>
      </c>
      <c r="D86" s="53" t="s">
        <v>15</v>
      </c>
      <c r="E86" s="53" t="s">
        <v>15</v>
      </c>
      <c r="F86" s="53" t="s">
        <v>15</v>
      </c>
      <c r="G86" s="53"/>
      <c r="H86" s="53" t="s">
        <v>807</v>
      </c>
      <c r="I86" s="53" t="s">
        <v>1357</v>
      </c>
      <c r="J86" s="53" t="s">
        <v>1351</v>
      </c>
      <c r="K86" s="53" t="s">
        <v>1352</v>
      </c>
      <c r="L86" s="53" t="s">
        <v>15</v>
      </c>
      <c r="M86" s="53" t="s">
        <v>15</v>
      </c>
      <c r="N86" s="53" t="s">
        <v>1337</v>
      </c>
      <c r="O86" s="53" t="s">
        <v>15</v>
      </c>
    </row>
    <row r="87" spans="1:15" x14ac:dyDescent="0.25">
      <c r="A87" s="52" t="s">
        <v>4333</v>
      </c>
      <c r="B87" s="54" t="str">
        <f t="shared" si="1"/>
        <v>IC,,TI,74V1G125,SOT25</v>
      </c>
      <c r="C87" s="53" t="s">
        <v>15</v>
      </c>
      <c r="D87" s="53" t="s">
        <v>15</v>
      </c>
      <c r="E87" s="53" t="s">
        <v>15</v>
      </c>
      <c r="F87" s="53" t="s">
        <v>15</v>
      </c>
      <c r="G87" s="53"/>
      <c r="H87" s="53" t="s">
        <v>1145</v>
      </c>
      <c r="I87" s="53" t="s">
        <v>1358</v>
      </c>
      <c r="J87" s="53" t="s">
        <v>1169</v>
      </c>
      <c r="K87" s="53" t="s">
        <v>1359</v>
      </c>
      <c r="L87" s="53" t="s">
        <v>15</v>
      </c>
      <c r="M87" s="53" t="s">
        <v>15</v>
      </c>
      <c r="N87" s="53" t="s">
        <v>1337</v>
      </c>
      <c r="O87" s="53" t="s">
        <v>15</v>
      </c>
    </row>
    <row r="88" spans="1:15" x14ac:dyDescent="0.25">
      <c r="A88" s="52" t="s">
        <v>4334</v>
      </c>
      <c r="B88" s="54" t="str">
        <f t="shared" si="1"/>
        <v>IC,,TI,74V1G32,SOT25</v>
      </c>
      <c r="C88" s="53" t="s">
        <v>15</v>
      </c>
      <c r="D88" s="53" t="s">
        <v>15</v>
      </c>
      <c r="E88" s="53" t="s">
        <v>15</v>
      </c>
      <c r="F88" s="53" t="s">
        <v>15</v>
      </c>
      <c r="G88" s="53"/>
      <c r="H88" s="53" t="s">
        <v>1145</v>
      </c>
      <c r="I88" s="53" t="s">
        <v>1360</v>
      </c>
      <c r="J88" s="53" t="s">
        <v>1169</v>
      </c>
      <c r="K88" s="53" t="s">
        <v>1361</v>
      </c>
      <c r="L88" s="53" t="s">
        <v>15</v>
      </c>
      <c r="M88" s="53" t="s">
        <v>15</v>
      </c>
      <c r="N88" s="53" t="s">
        <v>1337</v>
      </c>
      <c r="O88" s="53" t="s">
        <v>15</v>
      </c>
    </row>
    <row r="89" spans="1:15" x14ac:dyDescent="0.25">
      <c r="A89" s="52" t="s">
        <v>4335</v>
      </c>
      <c r="B89" s="54" t="str">
        <f t="shared" si="1"/>
        <v>IC,LOGIC,HEX SCHMITT-NOT,TI,74V1G14,SOT25</v>
      </c>
      <c r="C89" s="53" t="s">
        <v>15</v>
      </c>
      <c r="D89" s="53" t="s">
        <v>15</v>
      </c>
      <c r="E89" s="53" t="s">
        <v>15</v>
      </c>
      <c r="F89" s="53" t="s">
        <v>15</v>
      </c>
      <c r="G89" s="53" t="s">
        <v>4961</v>
      </c>
      <c r="H89" s="53" t="s">
        <v>1145</v>
      </c>
      <c r="I89" s="53" t="s">
        <v>1362</v>
      </c>
      <c r="J89" s="53" t="s">
        <v>1169</v>
      </c>
      <c r="K89" s="53" t="s">
        <v>1363</v>
      </c>
      <c r="L89" s="53" t="s">
        <v>15</v>
      </c>
      <c r="M89" s="53" t="s">
        <v>15</v>
      </c>
      <c r="N89" s="53" t="s">
        <v>1337</v>
      </c>
      <c r="O89" s="53" t="s">
        <v>15</v>
      </c>
    </row>
    <row r="90" spans="1:15" x14ac:dyDescent="0.25">
      <c r="A90" s="52" t="s">
        <v>4336</v>
      </c>
      <c r="B90" s="54" t="str">
        <f t="shared" si="1"/>
        <v>IC,LOGIC,HEX SCHMITT-NOT,TI,74LCX14,TSSOP14</v>
      </c>
      <c r="C90" s="53" t="s">
        <v>15</v>
      </c>
      <c r="D90" s="53" t="s">
        <v>15</v>
      </c>
      <c r="E90" s="53" t="s">
        <v>15</v>
      </c>
      <c r="F90" s="53" t="s">
        <v>15</v>
      </c>
      <c r="G90" s="53" t="s">
        <v>4961</v>
      </c>
      <c r="H90" s="53" t="s">
        <v>1145</v>
      </c>
      <c r="I90" s="53" t="s">
        <v>1364</v>
      </c>
      <c r="J90" s="53" t="s">
        <v>1198</v>
      </c>
      <c r="K90" s="53" t="s">
        <v>1365</v>
      </c>
      <c r="L90" s="53" t="s">
        <v>15</v>
      </c>
      <c r="M90" s="53" t="s">
        <v>15</v>
      </c>
      <c r="N90" s="53" t="s">
        <v>1337</v>
      </c>
      <c r="O90" s="53" t="s">
        <v>15</v>
      </c>
    </row>
    <row r="91" spans="1:15" x14ac:dyDescent="0.25">
      <c r="A91" s="52" t="s">
        <v>4337</v>
      </c>
      <c r="B91" s="54" t="str">
        <f t="shared" si="1"/>
        <v>IC,LOIGC,HEX NOT,TI,74LCX04,TSSOP14</v>
      </c>
      <c r="C91" s="53" t="s">
        <v>15</v>
      </c>
      <c r="D91" s="53" t="s">
        <v>15</v>
      </c>
      <c r="E91" s="53" t="s">
        <v>15</v>
      </c>
      <c r="F91" s="53" t="s">
        <v>15</v>
      </c>
      <c r="G91" s="53" t="s">
        <v>4960</v>
      </c>
      <c r="H91" s="53" t="s">
        <v>1145</v>
      </c>
      <c r="I91" s="53" t="s">
        <v>1366</v>
      </c>
      <c r="J91" s="53" t="s">
        <v>1198</v>
      </c>
      <c r="K91" s="53" t="s">
        <v>1367</v>
      </c>
      <c r="L91" s="53" t="s">
        <v>15</v>
      </c>
      <c r="M91" s="53" t="s">
        <v>15</v>
      </c>
      <c r="N91" s="53" t="s">
        <v>1337</v>
      </c>
      <c r="O91" s="53" t="s">
        <v>15</v>
      </c>
    </row>
    <row r="92" spans="1:15" x14ac:dyDescent="0.25">
      <c r="A92" s="52" t="s">
        <v>4338</v>
      </c>
      <c r="B92" s="54" t="str">
        <f t="shared" si="1"/>
        <v>IC,,TI,74LCX244,TSSOP20</v>
      </c>
      <c r="C92" s="53" t="s">
        <v>15</v>
      </c>
      <c r="D92" s="53" t="s">
        <v>15</v>
      </c>
      <c r="E92" s="53" t="s">
        <v>15</v>
      </c>
      <c r="F92" s="53" t="s">
        <v>15</v>
      </c>
      <c r="G92" s="53"/>
      <c r="H92" s="53" t="s">
        <v>1145</v>
      </c>
      <c r="I92" s="53" t="s">
        <v>1368</v>
      </c>
      <c r="J92" s="53" t="s">
        <v>1351</v>
      </c>
      <c r="K92" s="53" t="s">
        <v>1369</v>
      </c>
      <c r="L92" s="53" t="s">
        <v>15</v>
      </c>
      <c r="M92" s="53" t="s">
        <v>15</v>
      </c>
      <c r="N92" s="53" t="s">
        <v>1337</v>
      </c>
      <c r="O92" s="53" t="s">
        <v>15</v>
      </c>
    </row>
    <row r="93" spans="1:15" x14ac:dyDescent="0.25">
      <c r="A93" s="52" t="s">
        <v>4339</v>
      </c>
      <c r="B93" s="54" t="str">
        <f t="shared" si="1"/>
        <v>IC,,FAIRCHILD,74ABT240,TSSOP20</v>
      </c>
      <c r="C93" s="53" t="s">
        <v>15</v>
      </c>
      <c r="D93" s="53" t="s">
        <v>15</v>
      </c>
      <c r="E93" s="53" t="s">
        <v>15</v>
      </c>
      <c r="F93" s="53" t="s">
        <v>15</v>
      </c>
      <c r="G93" s="53"/>
      <c r="H93" s="53" t="s">
        <v>764</v>
      </c>
      <c r="I93" s="53" t="s">
        <v>1370</v>
      </c>
      <c r="J93" s="53" t="s">
        <v>1351</v>
      </c>
      <c r="K93" s="53" t="s">
        <v>1371</v>
      </c>
      <c r="L93" s="53" t="s">
        <v>15</v>
      </c>
      <c r="M93" s="53" t="s">
        <v>15</v>
      </c>
      <c r="N93" s="53" t="s">
        <v>1337</v>
      </c>
      <c r="O93" s="53" t="s">
        <v>15</v>
      </c>
    </row>
    <row r="94" spans="1:15" x14ac:dyDescent="0.25">
      <c r="A94" s="52" t="s">
        <v>4340</v>
      </c>
      <c r="B94" s="54" t="str">
        <f t="shared" si="1"/>
        <v>IC,,TI,74LCX08,TSSOP14</v>
      </c>
      <c r="C94" s="53" t="s">
        <v>15</v>
      </c>
      <c r="D94" s="53" t="s">
        <v>15</v>
      </c>
      <c r="E94" s="53" t="s">
        <v>15</v>
      </c>
      <c r="F94" s="53" t="s">
        <v>15</v>
      </c>
      <c r="G94" s="53"/>
      <c r="H94" s="53" t="s">
        <v>1145</v>
      </c>
      <c r="I94" s="53" t="s">
        <v>1372</v>
      </c>
      <c r="J94" s="53" t="s">
        <v>1198</v>
      </c>
      <c r="K94" s="53" t="s">
        <v>1373</v>
      </c>
      <c r="L94" s="53" t="s">
        <v>15</v>
      </c>
      <c r="M94" s="53" t="s">
        <v>15</v>
      </c>
      <c r="N94" s="53" t="s">
        <v>1337</v>
      </c>
      <c r="O94" s="53" t="s">
        <v>15</v>
      </c>
    </row>
    <row r="95" spans="1:15" x14ac:dyDescent="0.25">
      <c r="A95" s="52" t="s">
        <v>4341</v>
      </c>
      <c r="B95" s="54" t="str">
        <f t="shared" si="1"/>
        <v>IC,TIMER,NATSEMI,LMC555,SO8</v>
      </c>
      <c r="C95" s="53" t="s">
        <v>15</v>
      </c>
      <c r="D95" s="53" t="s">
        <v>15</v>
      </c>
      <c r="E95" s="53" t="s">
        <v>15</v>
      </c>
      <c r="F95" s="53" t="s">
        <v>15</v>
      </c>
      <c r="G95" s="53" t="s">
        <v>4962</v>
      </c>
      <c r="H95" s="53" t="s">
        <v>1374</v>
      </c>
      <c r="I95" s="53" t="s">
        <v>1375</v>
      </c>
      <c r="J95" s="53" t="s">
        <v>1147</v>
      </c>
      <c r="K95" s="53" t="s">
        <v>1376</v>
      </c>
      <c r="L95" s="53" t="s">
        <v>15</v>
      </c>
      <c r="M95" s="53" t="s">
        <v>15</v>
      </c>
      <c r="N95" s="53" t="s">
        <v>15</v>
      </c>
      <c r="O95" s="53" t="s">
        <v>15</v>
      </c>
    </row>
    <row r="96" spans="1:15" x14ac:dyDescent="0.25">
      <c r="A96" s="52" t="s">
        <v>4342</v>
      </c>
      <c r="B96" s="54" t="str">
        <f t="shared" si="1"/>
        <v>IC,,TI,74LCX32,TSSOP14</v>
      </c>
      <c r="C96" s="53" t="s">
        <v>15</v>
      </c>
      <c r="D96" s="53" t="s">
        <v>15</v>
      </c>
      <c r="E96" s="53" t="s">
        <v>15</v>
      </c>
      <c r="F96" s="53" t="s">
        <v>15</v>
      </c>
      <c r="G96" s="53"/>
      <c r="H96" s="53" t="s">
        <v>1145</v>
      </c>
      <c r="I96" s="53" t="s">
        <v>1377</v>
      </c>
      <c r="J96" s="53" t="s">
        <v>1198</v>
      </c>
      <c r="K96" s="53" t="s">
        <v>1378</v>
      </c>
      <c r="L96" s="53" t="s">
        <v>15</v>
      </c>
      <c r="M96" s="53" t="s">
        <v>15</v>
      </c>
      <c r="N96" s="53" t="s">
        <v>1337</v>
      </c>
      <c r="O96" s="53" t="s">
        <v>15</v>
      </c>
    </row>
    <row r="97" spans="1:15" x14ac:dyDescent="0.25">
      <c r="A97" s="52" t="s">
        <v>4343</v>
      </c>
      <c r="B97" s="54" t="str">
        <f t="shared" si="1"/>
        <v>IC,,TI,74LCX02,TSSOP14</v>
      </c>
      <c r="C97" s="53" t="s">
        <v>15</v>
      </c>
      <c r="D97" s="53" t="s">
        <v>15</v>
      </c>
      <c r="E97" s="53" t="s">
        <v>15</v>
      </c>
      <c r="F97" s="53" t="s">
        <v>15</v>
      </c>
      <c r="G97" s="53"/>
      <c r="H97" s="53" t="s">
        <v>1145</v>
      </c>
      <c r="I97" s="53" t="s">
        <v>1379</v>
      </c>
      <c r="J97" s="53" t="s">
        <v>1198</v>
      </c>
      <c r="K97" s="53" t="s">
        <v>1380</v>
      </c>
      <c r="L97" s="53" t="s">
        <v>15</v>
      </c>
      <c r="M97" s="53" t="s">
        <v>15</v>
      </c>
      <c r="N97" s="53" t="s">
        <v>1337</v>
      </c>
      <c r="O97" s="53" t="s">
        <v>15</v>
      </c>
    </row>
    <row r="98" spans="1:15" x14ac:dyDescent="0.25">
      <c r="A98" s="52" t="s">
        <v>4344</v>
      </c>
      <c r="B98" s="54" t="str">
        <f t="shared" si="1"/>
        <v>IC,,NATSEMI,LMC6482IM,SO8</v>
      </c>
      <c r="C98" s="53" t="s">
        <v>15</v>
      </c>
      <c r="D98" s="53" t="s">
        <v>15</v>
      </c>
      <c r="E98" s="53" t="s">
        <v>15</v>
      </c>
      <c r="F98" s="53" t="s">
        <v>15</v>
      </c>
      <c r="G98" s="53"/>
      <c r="H98" s="53" t="s">
        <v>1374</v>
      </c>
      <c r="I98" s="53" t="s">
        <v>1381</v>
      </c>
      <c r="J98" s="53" t="s">
        <v>1147</v>
      </c>
      <c r="K98" s="53" t="s">
        <v>1382</v>
      </c>
      <c r="L98" s="53" t="s">
        <v>15</v>
      </c>
      <c r="M98" s="53" t="s">
        <v>15</v>
      </c>
      <c r="N98" s="53" t="s">
        <v>15</v>
      </c>
      <c r="O98" s="53" t="s">
        <v>15</v>
      </c>
    </row>
    <row r="99" spans="1:15" x14ac:dyDescent="0.25">
      <c r="A99" s="52" t="s">
        <v>4345</v>
      </c>
      <c r="B99" s="54" t="str">
        <f t="shared" si="1"/>
        <v>IC,,ST,74HC74,TSSOP14</v>
      </c>
      <c r="C99" s="53" t="s">
        <v>15</v>
      </c>
      <c r="D99" s="53" t="s">
        <v>15</v>
      </c>
      <c r="E99" s="53" t="s">
        <v>15</v>
      </c>
      <c r="F99" s="53" t="s">
        <v>15</v>
      </c>
      <c r="G99" s="53"/>
      <c r="H99" s="53" t="s">
        <v>807</v>
      </c>
      <c r="I99" s="53" t="s">
        <v>1383</v>
      </c>
      <c r="J99" s="53" t="s">
        <v>1198</v>
      </c>
      <c r="K99" s="53" t="s">
        <v>1384</v>
      </c>
      <c r="L99" s="53" t="s">
        <v>15</v>
      </c>
      <c r="M99" s="53" t="s">
        <v>15</v>
      </c>
      <c r="N99" s="53" t="s">
        <v>1337</v>
      </c>
      <c r="O99" s="53" t="s">
        <v>15</v>
      </c>
    </row>
    <row r="100" spans="1:15" x14ac:dyDescent="0.25">
      <c r="A100" s="52" t="s">
        <v>4346</v>
      </c>
      <c r="B100" s="54" t="str">
        <f t="shared" si="1"/>
        <v>IC,,FAIRCHILD,74HC132,TSSOP14</v>
      </c>
      <c r="C100" s="53" t="s">
        <v>15</v>
      </c>
      <c r="D100" s="53" t="s">
        <v>15</v>
      </c>
      <c r="E100" s="53" t="s">
        <v>15</v>
      </c>
      <c r="F100" s="53" t="s">
        <v>15</v>
      </c>
      <c r="G100" s="53"/>
      <c r="H100" s="53" t="s">
        <v>764</v>
      </c>
      <c r="I100" s="53" t="s">
        <v>1385</v>
      </c>
      <c r="J100" s="53" t="s">
        <v>1198</v>
      </c>
      <c r="K100" s="53" t="s">
        <v>1386</v>
      </c>
      <c r="L100" s="53" t="s">
        <v>15</v>
      </c>
      <c r="M100" s="53" t="s">
        <v>15</v>
      </c>
      <c r="N100" s="53" t="s">
        <v>1337</v>
      </c>
      <c r="O100" s="53" t="s">
        <v>15</v>
      </c>
    </row>
    <row r="101" spans="1:15" x14ac:dyDescent="0.25">
      <c r="A101" s="52" t="s">
        <v>4347</v>
      </c>
      <c r="B101" s="54" t="str">
        <f t="shared" si="1"/>
        <v>IC,,ANALOG DEVICES,AD811JRZ,SO8</v>
      </c>
      <c r="C101" s="53" t="s">
        <v>15</v>
      </c>
      <c r="D101" s="53" t="s">
        <v>15</v>
      </c>
      <c r="E101" s="53" t="s">
        <v>15</v>
      </c>
      <c r="F101" s="53" t="s">
        <v>15</v>
      </c>
      <c r="G101" s="53"/>
      <c r="H101" s="53" t="s">
        <v>1240</v>
      </c>
      <c r="I101" s="53" t="s">
        <v>1387</v>
      </c>
      <c r="J101" s="53" t="s">
        <v>1147</v>
      </c>
      <c r="K101" s="53" t="s">
        <v>1388</v>
      </c>
      <c r="L101" s="53" t="s">
        <v>15</v>
      </c>
      <c r="M101" s="53" t="s">
        <v>15</v>
      </c>
      <c r="N101" s="53" t="s">
        <v>1171</v>
      </c>
      <c r="O101" s="53" t="s">
        <v>15</v>
      </c>
    </row>
    <row r="102" spans="1:15" x14ac:dyDescent="0.25">
      <c r="A102" s="52" t="s">
        <v>4348</v>
      </c>
      <c r="B102" s="54" t="str">
        <f t="shared" si="1"/>
        <v>IC,,TI,SN65HVD230DR,SO8</v>
      </c>
      <c r="C102" s="53" t="s">
        <v>15</v>
      </c>
      <c r="D102" s="53" t="s">
        <v>15</v>
      </c>
      <c r="E102" s="53" t="s">
        <v>15</v>
      </c>
      <c r="F102" s="53" t="s">
        <v>15</v>
      </c>
      <c r="G102" s="53"/>
      <c r="H102" s="53" t="s">
        <v>1145</v>
      </c>
      <c r="I102" s="53" t="s">
        <v>1389</v>
      </c>
      <c r="J102" s="53" t="s">
        <v>1147</v>
      </c>
      <c r="K102" s="53" t="s">
        <v>1390</v>
      </c>
      <c r="L102" s="53" t="s">
        <v>15</v>
      </c>
      <c r="M102" s="53" t="s">
        <v>15</v>
      </c>
      <c r="N102" s="53" t="s">
        <v>15</v>
      </c>
      <c r="O102" s="53" t="s">
        <v>15</v>
      </c>
    </row>
    <row r="103" spans="1:15" x14ac:dyDescent="0.25">
      <c r="A103" s="52" t="s">
        <v>4349</v>
      </c>
      <c r="B103" s="54" t="str">
        <f t="shared" si="1"/>
        <v>IC,,SILICONIX,DG409,SO16</v>
      </c>
      <c r="C103" s="53" t="s">
        <v>15</v>
      </c>
      <c r="D103" s="53" t="s">
        <v>15</v>
      </c>
      <c r="E103" s="53" t="s">
        <v>15</v>
      </c>
      <c r="F103" s="53" t="s">
        <v>15</v>
      </c>
      <c r="G103" s="53"/>
      <c r="H103" s="53" t="s">
        <v>1391</v>
      </c>
      <c r="I103" s="53" t="s">
        <v>1392</v>
      </c>
      <c r="J103" s="53" t="s">
        <v>1261</v>
      </c>
      <c r="K103" s="53" t="s">
        <v>1393</v>
      </c>
      <c r="L103" s="53" t="s">
        <v>15</v>
      </c>
      <c r="M103" s="53" t="s">
        <v>15</v>
      </c>
      <c r="N103" s="53" t="s">
        <v>1394</v>
      </c>
      <c r="O103" s="53" t="s">
        <v>15</v>
      </c>
    </row>
    <row r="104" spans="1:15" x14ac:dyDescent="0.25">
      <c r="A104" s="52" t="s">
        <v>4350</v>
      </c>
      <c r="B104" s="54" t="str">
        <f t="shared" si="1"/>
        <v>IC,,ANALOG DEVICES,AD8016ARP,</v>
      </c>
      <c r="C104" s="53" t="s">
        <v>15</v>
      </c>
      <c r="D104" s="53" t="s">
        <v>15</v>
      </c>
      <c r="E104" s="53" t="s">
        <v>15</v>
      </c>
      <c r="F104" s="53" t="s">
        <v>15</v>
      </c>
      <c r="G104" s="53"/>
      <c r="H104" s="53" t="s">
        <v>1240</v>
      </c>
      <c r="I104" s="53" t="s">
        <v>1395</v>
      </c>
      <c r="J104" s="53" t="s">
        <v>15</v>
      </c>
      <c r="K104" s="53" t="s">
        <v>1396</v>
      </c>
      <c r="L104" s="53" t="s">
        <v>15</v>
      </c>
      <c r="M104" s="53" t="s">
        <v>15</v>
      </c>
      <c r="N104" s="53" t="s">
        <v>1171</v>
      </c>
      <c r="O104" s="53" t="s">
        <v>15</v>
      </c>
    </row>
    <row r="105" spans="1:15" x14ac:dyDescent="0.25">
      <c r="A105" s="52" t="s">
        <v>4351</v>
      </c>
      <c r="B105" s="54" t="str">
        <f t="shared" si="1"/>
        <v>IC,,ANALOG DEVICES,AD8016ARB,</v>
      </c>
      <c r="C105" s="53" t="s">
        <v>15</v>
      </c>
      <c r="D105" s="53" t="s">
        <v>15</v>
      </c>
      <c r="E105" s="53" t="s">
        <v>15</v>
      </c>
      <c r="F105" s="53" t="s">
        <v>15</v>
      </c>
      <c r="G105" s="53"/>
      <c r="H105" s="53" t="s">
        <v>1240</v>
      </c>
      <c r="I105" s="53" t="s">
        <v>1397</v>
      </c>
      <c r="J105" s="53" t="s">
        <v>15</v>
      </c>
      <c r="K105" s="53" t="s">
        <v>1398</v>
      </c>
      <c r="L105" s="53" t="s">
        <v>15</v>
      </c>
      <c r="M105" s="53" t="s">
        <v>15</v>
      </c>
      <c r="N105" s="53" t="s">
        <v>1171</v>
      </c>
      <c r="O105" s="53" t="s">
        <v>15</v>
      </c>
    </row>
    <row r="106" spans="1:15" x14ac:dyDescent="0.25">
      <c r="A106" s="52" t="s">
        <v>4352</v>
      </c>
      <c r="B106" s="54" t="str">
        <f t="shared" si="1"/>
        <v>IC,,LINEAR TECHNOLOGIES,LT1442,SO8</v>
      </c>
      <c r="C106" s="53" t="s">
        <v>15</v>
      </c>
      <c r="D106" s="53" t="s">
        <v>15</v>
      </c>
      <c r="E106" s="53" t="s">
        <v>15</v>
      </c>
      <c r="F106" s="53" t="s">
        <v>15</v>
      </c>
      <c r="G106" s="53"/>
      <c r="H106" s="53" t="s">
        <v>1247</v>
      </c>
      <c r="I106" s="53" t="s">
        <v>1399</v>
      </c>
      <c r="J106" s="53" t="s">
        <v>1147</v>
      </c>
      <c r="K106" s="53" t="s">
        <v>1400</v>
      </c>
      <c r="L106" s="53" t="s">
        <v>15</v>
      </c>
      <c r="M106" s="53" t="s">
        <v>15</v>
      </c>
      <c r="N106" s="53" t="s">
        <v>15</v>
      </c>
      <c r="O106" s="53" t="s">
        <v>15</v>
      </c>
    </row>
    <row r="107" spans="1:15" x14ac:dyDescent="0.25">
      <c r="A107" s="52" t="s">
        <v>4353</v>
      </c>
      <c r="B107" s="54" t="str">
        <f t="shared" si="1"/>
        <v>IC,,ST,LM393,SO8</v>
      </c>
      <c r="C107" s="53" t="s">
        <v>15</v>
      </c>
      <c r="D107" s="53" t="s">
        <v>15</v>
      </c>
      <c r="E107" s="53" t="s">
        <v>15</v>
      </c>
      <c r="F107" s="53" t="s">
        <v>15</v>
      </c>
      <c r="G107" s="53"/>
      <c r="H107" s="53" t="s">
        <v>807</v>
      </c>
      <c r="I107" s="53" t="s">
        <v>1401</v>
      </c>
      <c r="J107" s="53" t="s">
        <v>1147</v>
      </c>
      <c r="K107" s="53" t="s">
        <v>1402</v>
      </c>
      <c r="L107" s="53" t="s">
        <v>15</v>
      </c>
      <c r="M107" s="53" t="s">
        <v>15</v>
      </c>
      <c r="N107" s="53" t="s">
        <v>1403</v>
      </c>
      <c r="O107" s="53" t="s">
        <v>15</v>
      </c>
    </row>
    <row r="108" spans="1:15" x14ac:dyDescent="0.25">
      <c r="A108" s="52" t="s">
        <v>4354</v>
      </c>
      <c r="B108" s="54" t="str">
        <f t="shared" si="1"/>
        <v>IC,,,TPS62110,</v>
      </c>
      <c r="C108" s="53" t="s">
        <v>15</v>
      </c>
      <c r="D108" s="53" t="s">
        <v>15</v>
      </c>
      <c r="E108" s="53" t="s">
        <v>15</v>
      </c>
      <c r="F108" s="53" t="s">
        <v>15</v>
      </c>
      <c r="G108" s="53"/>
      <c r="H108" s="53" t="s">
        <v>15</v>
      </c>
      <c r="I108" s="53" t="s">
        <v>1404</v>
      </c>
      <c r="J108" s="53" t="s">
        <v>15</v>
      </c>
      <c r="K108" s="53" t="s">
        <v>1405</v>
      </c>
      <c r="L108" s="53" t="s">
        <v>15</v>
      </c>
      <c r="M108" s="53" t="s">
        <v>15</v>
      </c>
      <c r="N108" s="53" t="s">
        <v>15</v>
      </c>
      <c r="O108" s="53" t="s">
        <v>15</v>
      </c>
    </row>
    <row r="109" spans="1:15" x14ac:dyDescent="0.25">
      <c r="A109" s="52" t="s">
        <v>4355</v>
      </c>
      <c r="B109" s="54" t="str">
        <f t="shared" si="1"/>
        <v>IC,,,MAX6520EUR,</v>
      </c>
      <c r="C109" s="53" t="s">
        <v>15</v>
      </c>
      <c r="D109" s="53" t="s">
        <v>15</v>
      </c>
      <c r="E109" s="53" t="s">
        <v>15</v>
      </c>
      <c r="F109" s="53" t="s">
        <v>15</v>
      </c>
      <c r="G109" s="53"/>
      <c r="H109" s="53" t="s">
        <v>15</v>
      </c>
      <c r="I109" s="53" t="s">
        <v>1406</v>
      </c>
      <c r="J109" s="53" t="s">
        <v>15</v>
      </c>
      <c r="K109" s="53" t="s">
        <v>1407</v>
      </c>
      <c r="L109" s="53" t="s">
        <v>15</v>
      </c>
      <c r="M109" s="53" t="s">
        <v>15</v>
      </c>
      <c r="N109" s="53" t="s">
        <v>15</v>
      </c>
      <c r="O109" s="53" t="s">
        <v>15</v>
      </c>
    </row>
    <row r="110" spans="1:15" x14ac:dyDescent="0.25">
      <c r="A110" s="52" t="s">
        <v>4356</v>
      </c>
      <c r="B110" s="54" t="str">
        <f t="shared" si="1"/>
        <v>IC,,,MCP130T-315I/TT,</v>
      </c>
      <c r="C110" s="53" t="s">
        <v>15</v>
      </c>
      <c r="D110" s="53" t="s">
        <v>15</v>
      </c>
      <c r="E110" s="53" t="s">
        <v>15</v>
      </c>
      <c r="F110" s="53" t="s">
        <v>15</v>
      </c>
      <c r="G110" s="53"/>
      <c r="H110" s="53" t="s">
        <v>15</v>
      </c>
      <c r="I110" s="53" t="s">
        <v>1408</v>
      </c>
      <c r="J110" s="53" t="s">
        <v>15</v>
      </c>
      <c r="K110" s="53" t="s">
        <v>1409</v>
      </c>
      <c r="L110" s="53" t="s">
        <v>15</v>
      </c>
      <c r="M110" s="53" t="s">
        <v>15</v>
      </c>
      <c r="N110" s="53" t="s">
        <v>15</v>
      </c>
      <c r="O110" s="53" t="s">
        <v>15</v>
      </c>
    </row>
    <row r="111" spans="1:15" x14ac:dyDescent="0.25">
      <c r="A111" s="52" t="s">
        <v>4357</v>
      </c>
      <c r="B111" s="54" t="str">
        <f t="shared" si="1"/>
        <v>IC,,ST,LF50,DPAK</v>
      </c>
      <c r="C111" s="53" t="s">
        <v>15</v>
      </c>
      <c r="D111" s="53" t="s">
        <v>15</v>
      </c>
      <c r="E111" s="53" t="s">
        <v>15</v>
      </c>
      <c r="F111" s="53" t="s">
        <v>15</v>
      </c>
      <c r="G111" s="53"/>
      <c r="H111" s="53" t="s">
        <v>807</v>
      </c>
      <c r="I111" s="53" t="s">
        <v>1410</v>
      </c>
      <c r="J111" s="53" t="s">
        <v>932</v>
      </c>
      <c r="K111" s="53" t="s">
        <v>1411</v>
      </c>
      <c r="L111" s="53" t="s">
        <v>15</v>
      </c>
      <c r="M111" s="53" t="s">
        <v>15</v>
      </c>
      <c r="N111" s="53" t="s">
        <v>15</v>
      </c>
      <c r="O111" s="53" t="s">
        <v>15</v>
      </c>
    </row>
    <row r="112" spans="1:15" x14ac:dyDescent="0.25">
      <c r="A112" s="52" t="s">
        <v>4358</v>
      </c>
      <c r="B112" s="54" t="str">
        <f t="shared" si="1"/>
        <v>IC,,,LT1250,</v>
      </c>
      <c r="C112" s="53" t="s">
        <v>15</v>
      </c>
      <c r="D112" s="53" t="s">
        <v>15</v>
      </c>
      <c r="E112" s="53" t="s">
        <v>15</v>
      </c>
      <c r="F112" s="53" t="s">
        <v>15</v>
      </c>
      <c r="G112" s="53"/>
      <c r="H112" s="53" t="s">
        <v>15</v>
      </c>
      <c r="I112" s="53" t="s">
        <v>1412</v>
      </c>
      <c r="J112" s="53" t="s">
        <v>15</v>
      </c>
      <c r="K112" s="53" t="s">
        <v>1413</v>
      </c>
      <c r="L112" s="53" t="s">
        <v>15</v>
      </c>
      <c r="M112" s="53" t="s">
        <v>15</v>
      </c>
      <c r="N112" s="53" t="s">
        <v>15</v>
      </c>
      <c r="O112" s="53" t="s">
        <v>15</v>
      </c>
    </row>
    <row r="113" spans="1:15" x14ac:dyDescent="0.25">
      <c r="A113" s="52" t="s">
        <v>4359</v>
      </c>
      <c r="B113" s="54" t="str">
        <f t="shared" si="1"/>
        <v>IC,,,MAX4550CWI,</v>
      </c>
      <c r="C113" s="53" t="s">
        <v>15</v>
      </c>
      <c r="D113" s="53" t="s">
        <v>15</v>
      </c>
      <c r="E113" s="53" t="s">
        <v>15</v>
      </c>
      <c r="F113" s="53" t="s">
        <v>15</v>
      </c>
      <c r="G113" s="53"/>
      <c r="H113" s="53" t="s">
        <v>15</v>
      </c>
      <c r="I113" s="53" t="s">
        <v>1414</v>
      </c>
      <c r="J113" s="53" t="s">
        <v>15</v>
      </c>
      <c r="K113" s="53" t="s">
        <v>1415</v>
      </c>
      <c r="L113" s="53" t="s">
        <v>15</v>
      </c>
      <c r="M113" s="53" t="s">
        <v>15</v>
      </c>
      <c r="N113" s="53" t="s">
        <v>15</v>
      </c>
      <c r="O113" s="53" t="s">
        <v>15</v>
      </c>
    </row>
    <row r="114" spans="1:15" x14ac:dyDescent="0.25">
      <c r="A114" s="52" t="s">
        <v>4360</v>
      </c>
      <c r="B114" s="54" t="str">
        <f t="shared" si="1"/>
        <v>IC,,NATSEMI,LM2598S-3.3,</v>
      </c>
      <c r="C114" s="53" t="s">
        <v>15</v>
      </c>
      <c r="D114" s="53" t="s">
        <v>15</v>
      </c>
      <c r="E114" s="53" t="s">
        <v>15</v>
      </c>
      <c r="F114" s="53" t="s">
        <v>15</v>
      </c>
      <c r="G114" s="53"/>
      <c r="H114" s="53" t="s">
        <v>1374</v>
      </c>
      <c r="I114" s="53" t="s">
        <v>1416</v>
      </c>
      <c r="J114" s="53" t="s">
        <v>15</v>
      </c>
      <c r="K114" s="53" t="s">
        <v>1417</v>
      </c>
      <c r="L114" s="53" t="s">
        <v>15</v>
      </c>
      <c r="M114" s="53" t="s">
        <v>15</v>
      </c>
      <c r="N114" s="53" t="s">
        <v>1176</v>
      </c>
      <c r="O114" s="53" t="s">
        <v>15</v>
      </c>
    </row>
    <row r="115" spans="1:15" x14ac:dyDescent="0.25">
      <c r="A115" s="52" t="s">
        <v>4361</v>
      </c>
      <c r="B115" s="54" t="str">
        <f t="shared" si="1"/>
        <v>IC,,,LM2676S-3.3,</v>
      </c>
      <c r="C115" s="53" t="s">
        <v>15</v>
      </c>
      <c r="D115" s="53" t="s">
        <v>15</v>
      </c>
      <c r="E115" s="53" t="s">
        <v>15</v>
      </c>
      <c r="F115" s="53" t="s">
        <v>15</v>
      </c>
      <c r="G115" s="53"/>
      <c r="H115" s="53" t="s">
        <v>15</v>
      </c>
      <c r="I115" s="53" t="s">
        <v>1418</v>
      </c>
      <c r="J115" s="53" t="s">
        <v>15</v>
      </c>
      <c r="K115" s="53" t="s">
        <v>1419</v>
      </c>
      <c r="L115" s="53" t="s">
        <v>15</v>
      </c>
      <c r="M115" s="53" t="s">
        <v>15</v>
      </c>
      <c r="N115" s="53" t="s">
        <v>1176</v>
      </c>
      <c r="O115" s="53" t="s">
        <v>15</v>
      </c>
    </row>
    <row r="116" spans="1:15" x14ac:dyDescent="0.25">
      <c r="A116" s="52" t="s">
        <v>4362</v>
      </c>
      <c r="B116" s="54" t="str">
        <f t="shared" si="1"/>
        <v>IC,,,LM2585S-ADJ,</v>
      </c>
      <c r="C116" s="53" t="s">
        <v>15</v>
      </c>
      <c r="D116" s="53" t="s">
        <v>15</v>
      </c>
      <c r="E116" s="53" t="s">
        <v>15</v>
      </c>
      <c r="F116" s="53" t="s">
        <v>15</v>
      </c>
      <c r="G116" s="53"/>
      <c r="H116" s="53" t="s">
        <v>15</v>
      </c>
      <c r="I116" s="53" t="s">
        <v>1420</v>
      </c>
      <c r="J116" s="53" t="s">
        <v>15</v>
      </c>
      <c r="K116" s="53" t="s">
        <v>1421</v>
      </c>
      <c r="L116" s="53" t="s">
        <v>15</v>
      </c>
      <c r="M116" s="53" t="s">
        <v>15</v>
      </c>
      <c r="N116" s="53" t="s">
        <v>1176</v>
      </c>
      <c r="O116" s="53" t="s">
        <v>15</v>
      </c>
    </row>
    <row r="117" spans="1:15" x14ac:dyDescent="0.25">
      <c r="A117" s="52" t="s">
        <v>4363</v>
      </c>
      <c r="B117" s="54" t="str">
        <f t="shared" si="1"/>
        <v>IC,,,LM2586S-ADJ,</v>
      </c>
      <c r="C117" s="53" t="s">
        <v>15</v>
      </c>
      <c r="D117" s="53" t="s">
        <v>15</v>
      </c>
      <c r="E117" s="53" t="s">
        <v>15</v>
      </c>
      <c r="F117" s="53" t="s">
        <v>15</v>
      </c>
      <c r="G117" s="53"/>
      <c r="H117" s="53" t="s">
        <v>15</v>
      </c>
      <c r="I117" s="53" t="s">
        <v>1422</v>
      </c>
      <c r="J117" s="53" t="s">
        <v>15</v>
      </c>
      <c r="K117" s="53" t="s">
        <v>1423</v>
      </c>
      <c r="L117" s="53" t="s">
        <v>15</v>
      </c>
      <c r="M117" s="53" t="s">
        <v>15</v>
      </c>
      <c r="N117" s="53" t="s">
        <v>1176</v>
      </c>
      <c r="O117" s="53" t="s">
        <v>15</v>
      </c>
    </row>
    <row r="118" spans="1:15" x14ac:dyDescent="0.25">
      <c r="A118" s="52" t="s">
        <v>4364</v>
      </c>
      <c r="B118" s="54" t="str">
        <f t="shared" si="1"/>
        <v>IC,,,FT2232D,</v>
      </c>
      <c r="C118" s="53" t="s">
        <v>15</v>
      </c>
      <c r="D118" s="53" t="s">
        <v>15</v>
      </c>
      <c r="E118" s="53" t="s">
        <v>15</v>
      </c>
      <c r="F118" s="53" t="s">
        <v>15</v>
      </c>
      <c r="G118" s="53"/>
      <c r="H118" s="53" t="s">
        <v>15</v>
      </c>
      <c r="I118" s="53" t="s">
        <v>1424</v>
      </c>
      <c r="J118" s="53" t="s">
        <v>15</v>
      </c>
      <c r="K118" s="53" t="s">
        <v>1425</v>
      </c>
      <c r="L118" s="53" t="s">
        <v>15</v>
      </c>
      <c r="M118" s="53" t="s">
        <v>15</v>
      </c>
      <c r="N118" s="53" t="s">
        <v>15</v>
      </c>
      <c r="O118" s="53" t="s">
        <v>15</v>
      </c>
    </row>
    <row r="119" spans="1:15" x14ac:dyDescent="0.25">
      <c r="A119" s="52" t="s">
        <v>4365</v>
      </c>
      <c r="B119" s="54" t="str">
        <f t="shared" si="1"/>
        <v>IC,,,LT1676,</v>
      </c>
      <c r="C119" s="53" t="s">
        <v>15</v>
      </c>
      <c r="D119" s="53" t="s">
        <v>15</v>
      </c>
      <c r="E119" s="53" t="s">
        <v>15</v>
      </c>
      <c r="F119" s="53" t="s">
        <v>15</v>
      </c>
      <c r="G119" s="53"/>
      <c r="H119" s="53" t="s">
        <v>15</v>
      </c>
      <c r="I119" s="53" t="s">
        <v>1426</v>
      </c>
      <c r="J119" s="53" t="s">
        <v>15</v>
      </c>
      <c r="K119" s="53" t="s">
        <v>1427</v>
      </c>
      <c r="L119" s="53" t="s">
        <v>15</v>
      </c>
      <c r="M119" s="53" t="s">
        <v>15</v>
      </c>
      <c r="N119" s="53" t="s">
        <v>15</v>
      </c>
      <c r="O119" s="53" t="s">
        <v>15</v>
      </c>
    </row>
    <row r="120" spans="1:15" x14ac:dyDescent="0.25">
      <c r="A120" s="52" t="s">
        <v>4366</v>
      </c>
      <c r="B120" s="54" t="str">
        <f t="shared" si="1"/>
        <v>IC,,,MAX1759EUB,</v>
      </c>
      <c r="C120" s="53" t="s">
        <v>15</v>
      </c>
      <c r="D120" s="53" t="s">
        <v>15</v>
      </c>
      <c r="E120" s="53" t="s">
        <v>15</v>
      </c>
      <c r="F120" s="53" t="s">
        <v>15</v>
      </c>
      <c r="G120" s="53"/>
      <c r="H120" s="53" t="s">
        <v>15</v>
      </c>
      <c r="I120" s="53" t="s">
        <v>1428</v>
      </c>
      <c r="J120" s="53" t="s">
        <v>15</v>
      </c>
      <c r="K120" s="53" t="s">
        <v>1429</v>
      </c>
      <c r="L120" s="53" t="s">
        <v>15</v>
      </c>
      <c r="M120" s="53" t="s">
        <v>15</v>
      </c>
      <c r="N120" s="53" t="s">
        <v>15</v>
      </c>
      <c r="O120" s="53" t="s">
        <v>15</v>
      </c>
    </row>
    <row r="121" spans="1:15" x14ac:dyDescent="0.25">
      <c r="A121" s="52" t="s">
        <v>4367</v>
      </c>
      <c r="B121" s="54" t="str">
        <f t="shared" si="1"/>
        <v>IC,,,MAX1864TEEE,</v>
      </c>
      <c r="C121" s="53" t="s">
        <v>15</v>
      </c>
      <c r="D121" s="53" t="s">
        <v>15</v>
      </c>
      <c r="E121" s="53" t="s">
        <v>15</v>
      </c>
      <c r="F121" s="53" t="s">
        <v>15</v>
      </c>
      <c r="G121" s="53"/>
      <c r="H121" s="53" t="s">
        <v>15</v>
      </c>
      <c r="I121" s="53" t="s">
        <v>1430</v>
      </c>
      <c r="J121" s="53" t="s">
        <v>15</v>
      </c>
      <c r="K121" s="53" t="s">
        <v>1431</v>
      </c>
      <c r="L121" s="53" t="s">
        <v>15</v>
      </c>
      <c r="M121" s="53" t="s">
        <v>15</v>
      </c>
      <c r="N121" s="53" t="s">
        <v>15</v>
      </c>
      <c r="O121" s="53" t="s">
        <v>15</v>
      </c>
    </row>
    <row r="122" spans="1:15" x14ac:dyDescent="0.25">
      <c r="A122" s="52" t="s">
        <v>4368</v>
      </c>
      <c r="B122" s="54" t="str">
        <f t="shared" si="1"/>
        <v>IC,,ONSEMI,NC7SZ125,</v>
      </c>
      <c r="C122" s="53" t="s">
        <v>15</v>
      </c>
      <c r="D122" s="53" t="s">
        <v>15</v>
      </c>
      <c r="E122" s="53" t="s">
        <v>15</v>
      </c>
      <c r="F122" s="53" t="s">
        <v>15</v>
      </c>
      <c r="G122" s="53"/>
      <c r="H122" s="53" t="s">
        <v>685</v>
      </c>
      <c r="I122" s="53" t="s">
        <v>1432</v>
      </c>
      <c r="J122" s="53" t="s">
        <v>15</v>
      </c>
      <c r="K122" s="53" t="s">
        <v>1433</v>
      </c>
      <c r="L122" s="53" t="s">
        <v>15</v>
      </c>
      <c r="M122" s="53" t="s">
        <v>15</v>
      </c>
      <c r="N122" s="53" t="s">
        <v>15</v>
      </c>
      <c r="O122" s="53" t="s">
        <v>15</v>
      </c>
    </row>
    <row r="123" spans="1:15" x14ac:dyDescent="0.25">
      <c r="A123" s="52" t="s">
        <v>4369</v>
      </c>
      <c r="B123" s="54" t="str">
        <f t="shared" si="1"/>
        <v>IC,,,MAX1795EUA,</v>
      </c>
      <c r="C123" s="53" t="s">
        <v>15</v>
      </c>
      <c r="D123" s="53" t="s">
        <v>15</v>
      </c>
      <c r="E123" s="53" t="s">
        <v>15</v>
      </c>
      <c r="F123" s="53" t="s">
        <v>15</v>
      </c>
      <c r="G123" s="53"/>
      <c r="H123" s="53" t="s">
        <v>15</v>
      </c>
      <c r="I123" s="53" t="s">
        <v>1434</v>
      </c>
      <c r="J123" s="53" t="s">
        <v>15</v>
      </c>
      <c r="K123" s="53" t="s">
        <v>1435</v>
      </c>
      <c r="L123" s="53" t="s">
        <v>15</v>
      </c>
      <c r="M123" s="53" t="s">
        <v>15</v>
      </c>
      <c r="N123" s="53" t="s">
        <v>15</v>
      </c>
      <c r="O123" s="53" t="s">
        <v>15</v>
      </c>
    </row>
    <row r="124" spans="1:15" x14ac:dyDescent="0.25">
      <c r="A124" s="52" t="s">
        <v>4370</v>
      </c>
      <c r="B124" s="54" t="str">
        <f t="shared" si="1"/>
        <v>IC,,,MAX4360EAX,</v>
      </c>
      <c r="C124" s="53" t="s">
        <v>15</v>
      </c>
      <c r="D124" s="53" t="s">
        <v>15</v>
      </c>
      <c r="E124" s="53" t="s">
        <v>15</v>
      </c>
      <c r="F124" s="53" t="s">
        <v>15</v>
      </c>
      <c r="G124" s="53"/>
      <c r="H124" s="53" t="s">
        <v>15</v>
      </c>
      <c r="I124" s="53" t="s">
        <v>1436</v>
      </c>
      <c r="J124" s="53" t="s">
        <v>15</v>
      </c>
      <c r="K124" s="53" t="s">
        <v>1437</v>
      </c>
      <c r="L124" s="53" t="s">
        <v>15</v>
      </c>
      <c r="M124" s="53" t="s">
        <v>15</v>
      </c>
      <c r="N124" s="53" t="s">
        <v>15</v>
      </c>
      <c r="O124" s="53" t="s">
        <v>15</v>
      </c>
    </row>
    <row r="125" spans="1:15" x14ac:dyDescent="0.25">
      <c r="A125" s="52" t="s">
        <v>4371</v>
      </c>
      <c r="B125" s="54" t="str">
        <f t="shared" si="1"/>
        <v>IC,,ST,93C46,</v>
      </c>
      <c r="C125" s="53" t="s">
        <v>15</v>
      </c>
      <c r="D125" s="53" t="s">
        <v>15</v>
      </c>
      <c r="E125" s="53" t="s">
        <v>15</v>
      </c>
      <c r="F125" s="53" t="s">
        <v>15</v>
      </c>
      <c r="G125" s="53"/>
      <c r="H125" s="53" t="s">
        <v>807</v>
      </c>
      <c r="I125" s="53" t="s">
        <v>1438</v>
      </c>
      <c r="J125" s="53" t="s">
        <v>15</v>
      </c>
      <c r="K125" s="53" t="s">
        <v>1439</v>
      </c>
      <c r="L125" s="53" t="s">
        <v>15</v>
      </c>
      <c r="M125" s="53" t="s">
        <v>15</v>
      </c>
      <c r="N125" s="53" t="s">
        <v>1256</v>
      </c>
      <c r="O125" s="53" t="s">
        <v>15</v>
      </c>
    </row>
    <row r="126" spans="1:15" x14ac:dyDescent="0.25">
      <c r="A126" s="52" t="s">
        <v>4372</v>
      </c>
      <c r="B126" s="54" t="str">
        <f t="shared" si="1"/>
        <v>IC,,MICROCHIP,93LC46B,</v>
      </c>
      <c r="C126" s="53" t="s">
        <v>15</v>
      </c>
      <c r="D126" s="53" t="s">
        <v>15</v>
      </c>
      <c r="E126" s="53" t="s">
        <v>15</v>
      </c>
      <c r="F126" s="53" t="s">
        <v>15</v>
      </c>
      <c r="G126" s="53"/>
      <c r="H126" s="53" t="s">
        <v>939</v>
      </c>
      <c r="I126" s="53" t="s">
        <v>1440</v>
      </c>
      <c r="J126" s="53" t="s">
        <v>15</v>
      </c>
      <c r="K126" s="53" t="s">
        <v>1441</v>
      </c>
      <c r="L126" s="53" t="s">
        <v>15</v>
      </c>
      <c r="M126" s="53" t="s">
        <v>15</v>
      </c>
      <c r="N126" s="53" t="s">
        <v>1256</v>
      </c>
      <c r="O126" s="53" t="s">
        <v>15</v>
      </c>
    </row>
    <row r="127" spans="1:15" x14ac:dyDescent="0.25">
      <c r="A127" s="52" t="s">
        <v>4373</v>
      </c>
      <c r="B127" s="54" t="str">
        <f t="shared" si="1"/>
        <v>IC,,,MAX1865T,</v>
      </c>
      <c r="C127" s="53" t="s">
        <v>15</v>
      </c>
      <c r="D127" s="53" t="s">
        <v>15</v>
      </c>
      <c r="E127" s="53" t="s">
        <v>15</v>
      </c>
      <c r="F127" s="53" t="s">
        <v>15</v>
      </c>
      <c r="G127" s="53"/>
      <c r="H127" s="53" t="s">
        <v>15</v>
      </c>
      <c r="I127" s="53" t="s">
        <v>1442</v>
      </c>
      <c r="J127" s="53" t="s">
        <v>15</v>
      </c>
      <c r="K127" s="53" t="s">
        <v>1443</v>
      </c>
      <c r="L127" s="53" t="s">
        <v>15</v>
      </c>
      <c r="M127" s="53" t="s">
        <v>15</v>
      </c>
      <c r="N127" s="53" t="s">
        <v>15</v>
      </c>
      <c r="O127" s="53" t="s">
        <v>15</v>
      </c>
    </row>
    <row r="128" spans="1:15" x14ac:dyDescent="0.25">
      <c r="A128" s="52" t="s">
        <v>4374</v>
      </c>
      <c r="B128" s="54" t="str">
        <f t="shared" si="1"/>
        <v>IC,,,LM2597M-ADJ,</v>
      </c>
      <c r="C128" s="53" t="s">
        <v>15</v>
      </c>
      <c r="D128" s="53" t="s">
        <v>15</v>
      </c>
      <c r="E128" s="53" t="s">
        <v>15</v>
      </c>
      <c r="F128" s="53" t="s">
        <v>15</v>
      </c>
      <c r="G128" s="53"/>
      <c r="H128" s="53" t="s">
        <v>15</v>
      </c>
      <c r="I128" s="53" t="s">
        <v>1444</v>
      </c>
      <c r="J128" s="53" t="s">
        <v>15</v>
      </c>
      <c r="K128" s="53" t="s">
        <v>1445</v>
      </c>
      <c r="L128" s="53" t="s">
        <v>15</v>
      </c>
      <c r="M128" s="53" t="s">
        <v>15</v>
      </c>
      <c r="N128" s="53" t="s">
        <v>1176</v>
      </c>
      <c r="O128" s="53" t="s">
        <v>15</v>
      </c>
    </row>
    <row r="129" spans="1:15" x14ac:dyDescent="0.25">
      <c r="A129" s="52" t="s">
        <v>4375</v>
      </c>
      <c r="B129" s="54" t="str">
        <f t="shared" si="1"/>
        <v>IC,,,LM2594M-ADJ,</v>
      </c>
      <c r="C129" s="53" t="s">
        <v>15</v>
      </c>
      <c r="D129" s="53" t="s">
        <v>15</v>
      </c>
      <c r="E129" s="53" t="s">
        <v>15</v>
      </c>
      <c r="F129" s="53" t="s">
        <v>15</v>
      </c>
      <c r="G129" s="53"/>
      <c r="H129" s="53" t="s">
        <v>15</v>
      </c>
      <c r="I129" s="53" t="s">
        <v>1446</v>
      </c>
      <c r="J129" s="53" t="s">
        <v>15</v>
      </c>
      <c r="K129" s="53" t="s">
        <v>1447</v>
      </c>
      <c r="L129" s="53" t="s">
        <v>15</v>
      </c>
      <c r="M129" s="53" t="s">
        <v>15</v>
      </c>
      <c r="N129" s="53" t="s">
        <v>1176</v>
      </c>
      <c r="O129" s="53" t="s">
        <v>15</v>
      </c>
    </row>
    <row r="130" spans="1:15" x14ac:dyDescent="0.25">
      <c r="A130" s="52" t="s">
        <v>4376</v>
      </c>
      <c r="B130" s="54" t="str">
        <f t="shared" si="1"/>
        <v>IC,,,LM2597M-3.3,</v>
      </c>
      <c r="C130" s="53" t="s">
        <v>15</v>
      </c>
      <c r="D130" s="53" t="s">
        <v>15</v>
      </c>
      <c r="E130" s="53" t="s">
        <v>15</v>
      </c>
      <c r="F130" s="53" t="s">
        <v>15</v>
      </c>
      <c r="G130" s="53"/>
      <c r="H130" s="53" t="s">
        <v>15</v>
      </c>
      <c r="I130" s="53" t="s">
        <v>1448</v>
      </c>
      <c r="J130" s="53" t="s">
        <v>15</v>
      </c>
      <c r="K130" s="53" t="s">
        <v>1449</v>
      </c>
      <c r="L130" s="53" t="s">
        <v>15</v>
      </c>
      <c r="M130" s="53" t="s">
        <v>15</v>
      </c>
      <c r="N130" s="53" t="s">
        <v>1176</v>
      </c>
      <c r="O130" s="53" t="s">
        <v>15</v>
      </c>
    </row>
    <row r="131" spans="1:15" x14ac:dyDescent="0.25">
      <c r="A131" s="52" t="s">
        <v>4377</v>
      </c>
      <c r="B131" s="54" t="str">
        <f t="shared" ref="B131:B194" si="2">_xlfn.CONCAT("IC,",G131,",",H131,",",I131,",",J131)</f>
        <v>IC,,,MAX1856EUB,</v>
      </c>
      <c r="C131" s="53" t="s">
        <v>15</v>
      </c>
      <c r="D131" s="53" t="s">
        <v>15</v>
      </c>
      <c r="E131" s="53" t="s">
        <v>15</v>
      </c>
      <c r="F131" s="53" t="s">
        <v>15</v>
      </c>
      <c r="G131" s="53"/>
      <c r="H131" s="53" t="s">
        <v>15</v>
      </c>
      <c r="I131" s="53" t="s">
        <v>1450</v>
      </c>
      <c r="J131" s="53" t="s">
        <v>15</v>
      </c>
      <c r="K131" s="53" t="s">
        <v>1451</v>
      </c>
      <c r="L131" s="53" t="s">
        <v>15</v>
      </c>
      <c r="M131" s="53" t="s">
        <v>15</v>
      </c>
      <c r="N131" s="53" t="s">
        <v>15</v>
      </c>
      <c r="O131" s="53" t="s">
        <v>15</v>
      </c>
    </row>
    <row r="132" spans="1:15" x14ac:dyDescent="0.25">
      <c r="A132" s="52" t="s">
        <v>4378</v>
      </c>
      <c r="B132" s="54" t="str">
        <f t="shared" si="2"/>
        <v>IC,,,MAX1848,SOT28</v>
      </c>
      <c r="C132" s="53" t="s">
        <v>15</v>
      </c>
      <c r="D132" s="53" t="s">
        <v>15</v>
      </c>
      <c r="E132" s="53" t="s">
        <v>15</v>
      </c>
      <c r="F132" s="53" t="s">
        <v>15</v>
      </c>
      <c r="G132" s="53"/>
      <c r="H132" s="53" t="s">
        <v>15</v>
      </c>
      <c r="I132" s="53" t="s">
        <v>1452</v>
      </c>
      <c r="J132" s="53" t="s">
        <v>1453</v>
      </c>
      <c r="K132" s="53" t="s">
        <v>1454</v>
      </c>
      <c r="L132" s="53" t="s">
        <v>15</v>
      </c>
      <c r="M132" s="53" t="s">
        <v>15</v>
      </c>
      <c r="N132" s="53" t="s">
        <v>15</v>
      </c>
      <c r="O132" s="53" t="s">
        <v>15</v>
      </c>
    </row>
    <row r="133" spans="1:15" x14ac:dyDescent="0.25">
      <c r="A133" s="52" t="s">
        <v>4379</v>
      </c>
      <c r="B133" s="54" t="str">
        <f t="shared" si="2"/>
        <v>IC,,,LD2980-3.3,</v>
      </c>
      <c r="C133" s="53" t="s">
        <v>15</v>
      </c>
      <c r="D133" s="53" t="s">
        <v>15</v>
      </c>
      <c r="E133" s="53" t="s">
        <v>15</v>
      </c>
      <c r="F133" s="53" t="s">
        <v>15</v>
      </c>
      <c r="G133" s="53"/>
      <c r="H133" s="53" t="s">
        <v>15</v>
      </c>
      <c r="I133" s="53" t="s">
        <v>1455</v>
      </c>
      <c r="J133" s="53" t="s">
        <v>15</v>
      </c>
      <c r="K133" s="53" t="s">
        <v>1456</v>
      </c>
      <c r="L133" s="53" t="s">
        <v>15</v>
      </c>
      <c r="M133" s="53" t="s">
        <v>15</v>
      </c>
      <c r="N133" s="53" t="s">
        <v>1176</v>
      </c>
      <c r="O133" s="53" t="s">
        <v>15</v>
      </c>
    </row>
    <row r="134" spans="1:15" x14ac:dyDescent="0.25">
      <c r="A134" s="52" t="s">
        <v>4380</v>
      </c>
      <c r="B134" s="54" t="str">
        <f t="shared" si="2"/>
        <v>IC,,,MAX3232,SO16</v>
      </c>
      <c r="C134" s="53" t="s">
        <v>15</v>
      </c>
      <c r="D134" s="53" t="s">
        <v>15</v>
      </c>
      <c r="E134" s="53" t="s">
        <v>15</v>
      </c>
      <c r="F134" s="53" t="s">
        <v>15</v>
      </c>
      <c r="G134" s="53"/>
      <c r="H134" s="53" t="s">
        <v>15</v>
      </c>
      <c r="I134" s="53" t="s">
        <v>1457</v>
      </c>
      <c r="J134" s="53" t="s">
        <v>1261</v>
      </c>
      <c r="K134" s="53" t="s">
        <v>1458</v>
      </c>
      <c r="L134" s="53" t="s">
        <v>15</v>
      </c>
      <c r="M134" s="53" t="s">
        <v>15</v>
      </c>
      <c r="N134" s="53" t="s">
        <v>15</v>
      </c>
      <c r="O134" s="53" t="s">
        <v>15</v>
      </c>
    </row>
    <row r="135" spans="1:15" x14ac:dyDescent="0.25">
      <c r="A135" s="52" t="s">
        <v>4381</v>
      </c>
      <c r="B135" s="54" t="str">
        <f t="shared" si="2"/>
        <v>IC,,,MAX458,</v>
      </c>
      <c r="C135" s="53" t="s">
        <v>15</v>
      </c>
      <c r="D135" s="53" t="s">
        <v>15</v>
      </c>
      <c r="E135" s="53" t="s">
        <v>15</v>
      </c>
      <c r="F135" s="53" t="s">
        <v>15</v>
      </c>
      <c r="G135" s="53"/>
      <c r="H135" s="53" t="s">
        <v>15</v>
      </c>
      <c r="I135" s="53" t="s">
        <v>1459</v>
      </c>
      <c r="J135" s="53" t="s">
        <v>15</v>
      </c>
      <c r="K135" s="53" t="s">
        <v>1460</v>
      </c>
      <c r="L135" s="53" t="s">
        <v>15</v>
      </c>
      <c r="M135" s="53" t="s">
        <v>15</v>
      </c>
      <c r="N135" s="53" t="s">
        <v>15</v>
      </c>
      <c r="O135" s="53" t="s">
        <v>15</v>
      </c>
    </row>
    <row r="136" spans="1:15" x14ac:dyDescent="0.25">
      <c r="A136" s="52" t="s">
        <v>4382</v>
      </c>
      <c r="B136" s="54" t="str">
        <f t="shared" si="2"/>
        <v>IC,,,MAX456,</v>
      </c>
      <c r="C136" s="53" t="s">
        <v>15</v>
      </c>
      <c r="D136" s="53" t="s">
        <v>15</v>
      </c>
      <c r="E136" s="53" t="s">
        <v>15</v>
      </c>
      <c r="F136" s="53" t="s">
        <v>15</v>
      </c>
      <c r="G136" s="53"/>
      <c r="H136" s="53" t="s">
        <v>15</v>
      </c>
      <c r="I136" s="53" t="s">
        <v>1461</v>
      </c>
      <c r="J136" s="53" t="s">
        <v>15</v>
      </c>
      <c r="K136" s="53" t="s">
        <v>1462</v>
      </c>
      <c r="L136" s="53" t="s">
        <v>15</v>
      </c>
      <c r="M136" s="53" t="s">
        <v>15</v>
      </c>
      <c r="N136" s="53" t="s">
        <v>15</v>
      </c>
      <c r="O136" s="53" t="s">
        <v>15</v>
      </c>
    </row>
    <row r="137" spans="1:15" x14ac:dyDescent="0.25">
      <c r="A137" s="52" t="s">
        <v>4383</v>
      </c>
      <c r="B137" s="54" t="str">
        <f t="shared" si="2"/>
        <v>IC,,,ULN2803,SO18W</v>
      </c>
      <c r="C137" s="53" t="s">
        <v>15</v>
      </c>
      <c r="D137" s="53" t="s">
        <v>15</v>
      </c>
      <c r="E137" s="53" t="s">
        <v>15</v>
      </c>
      <c r="F137" s="53" t="s">
        <v>15</v>
      </c>
      <c r="G137" s="53"/>
      <c r="H137" s="53" t="s">
        <v>15</v>
      </c>
      <c r="I137" s="53" t="s">
        <v>1463</v>
      </c>
      <c r="J137" s="53" t="s">
        <v>1464</v>
      </c>
      <c r="K137" s="53" t="s">
        <v>1465</v>
      </c>
      <c r="L137" s="53" t="s">
        <v>15</v>
      </c>
      <c r="M137" s="53" t="s">
        <v>15</v>
      </c>
      <c r="N137" s="53" t="s">
        <v>15</v>
      </c>
      <c r="O137" s="53" t="s">
        <v>15</v>
      </c>
    </row>
    <row r="138" spans="1:15" x14ac:dyDescent="0.25">
      <c r="A138" s="52" t="s">
        <v>4384</v>
      </c>
      <c r="B138" s="54" t="str">
        <f t="shared" si="2"/>
        <v>IC,,,DS1666S-010,</v>
      </c>
      <c r="C138" s="53" t="s">
        <v>15</v>
      </c>
      <c r="D138" s="53" t="s">
        <v>15</v>
      </c>
      <c r="E138" s="53" t="s">
        <v>15</v>
      </c>
      <c r="F138" s="53" t="s">
        <v>15</v>
      </c>
      <c r="G138" s="53"/>
      <c r="H138" s="53" t="s">
        <v>15</v>
      </c>
      <c r="I138" s="53" t="s">
        <v>1466</v>
      </c>
      <c r="J138" s="53" t="s">
        <v>15</v>
      </c>
      <c r="K138" s="53" t="s">
        <v>1467</v>
      </c>
      <c r="L138" s="53" t="s">
        <v>15</v>
      </c>
      <c r="M138" s="53" t="s">
        <v>15</v>
      </c>
      <c r="N138" s="53" t="s">
        <v>15</v>
      </c>
      <c r="O138" s="53" t="s">
        <v>15</v>
      </c>
    </row>
    <row r="139" spans="1:15" x14ac:dyDescent="0.25">
      <c r="A139" s="52" t="s">
        <v>4385</v>
      </c>
      <c r="B139" s="54" t="str">
        <f t="shared" si="2"/>
        <v>IC,,,MAX496CPE,DIP16</v>
      </c>
      <c r="C139" s="53" t="s">
        <v>15</v>
      </c>
      <c r="D139" s="53" t="s">
        <v>15</v>
      </c>
      <c r="E139" s="53" t="s">
        <v>15</v>
      </c>
      <c r="F139" s="53" t="s">
        <v>15</v>
      </c>
      <c r="G139" s="53"/>
      <c r="H139" s="53" t="s">
        <v>15</v>
      </c>
      <c r="I139" s="53" t="s">
        <v>1468</v>
      </c>
      <c r="J139" s="53" t="s">
        <v>432</v>
      </c>
      <c r="K139" s="53" t="s">
        <v>1469</v>
      </c>
      <c r="L139" s="53" t="s">
        <v>15</v>
      </c>
      <c r="M139" s="53" t="s">
        <v>15</v>
      </c>
      <c r="N139" s="53" t="s">
        <v>15</v>
      </c>
      <c r="O139" s="53" t="s">
        <v>15</v>
      </c>
    </row>
    <row r="140" spans="1:15" x14ac:dyDescent="0.25">
      <c r="A140" s="52" t="s">
        <v>4386</v>
      </c>
      <c r="B140" s="54" t="str">
        <f t="shared" si="2"/>
        <v>IC,,,MAX552CPA,DIP8</v>
      </c>
      <c r="C140" s="53" t="s">
        <v>15</v>
      </c>
      <c r="D140" s="53" t="s">
        <v>15</v>
      </c>
      <c r="E140" s="53" t="s">
        <v>15</v>
      </c>
      <c r="F140" s="53" t="s">
        <v>15</v>
      </c>
      <c r="G140" s="53"/>
      <c r="H140" s="53" t="s">
        <v>15</v>
      </c>
      <c r="I140" s="53" t="s">
        <v>1470</v>
      </c>
      <c r="J140" s="53" t="s">
        <v>423</v>
      </c>
      <c r="K140" s="53" t="s">
        <v>1471</v>
      </c>
      <c r="L140" s="53" t="s">
        <v>15</v>
      </c>
      <c r="M140" s="53" t="s">
        <v>15</v>
      </c>
      <c r="N140" s="53" t="s">
        <v>15</v>
      </c>
      <c r="O140" s="53" t="s">
        <v>15</v>
      </c>
    </row>
    <row r="141" spans="1:15" x14ac:dyDescent="0.25">
      <c r="A141" s="52" t="s">
        <v>4387</v>
      </c>
      <c r="B141" s="54" t="str">
        <f t="shared" si="2"/>
        <v>IC,,,MAX497,</v>
      </c>
      <c r="C141" s="53" t="s">
        <v>15</v>
      </c>
      <c r="D141" s="53" t="s">
        <v>15</v>
      </c>
      <c r="E141" s="53" t="s">
        <v>15</v>
      </c>
      <c r="F141" s="53" t="s">
        <v>15</v>
      </c>
      <c r="G141" s="53"/>
      <c r="H141" s="53" t="s">
        <v>15</v>
      </c>
      <c r="I141" s="53" t="s">
        <v>1472</v>
      </c>
      <c r="J141" s="53" t="s">
        <v>15</v>
      </c>
      <c r="K141" s="53" t="s">
        <v>1473</v>
      </c>
      <c r="L141" s="53" t="s">
        <v>15</v>
      </c>
      <c r="M141" s="53" t="s">
        <v>15</v>
      </c>
      <c r="N141" s="53" t="s">
        <v>15</v>
      </c>
      <c r="O141" s="53" t="s">
        <v>15</v>
      </c>
    </row>
    <row r="142" spans="1:15" x14ac:dyDescent="0.25">
      <c r="A142" s="52" t="s">
        <v>4388</v>
      </c>
      <c r="B142" s="54" t="str">
        <f t="shared" si="2"/>
        <v>IC,,,MAX4169ESD,</v>
      </c>
      <c r="C142" s="53" t="s">
        <v>15</v>
      </c>
      <c r="D142" s="53" t="s">
        <v>15</v>
      </c>
      <c r="E142" s="53" t="s">
        <v>15</v>
      </c>
      <c r="F142" s="53" t="s">
        <v>15</v>
      </c>
      <c r="G142" s="53"/>
      <c r="H142" s="53" t="s">
        <v>15</v>
      </c>
      <c r="I142" s="53" t="s">
        <v>1474</v>
      </c>
      <c r="J142" s="53" t="s">
        <v>15</v>
      </c>
      <c r="K142" s="53" t="s">
        <v>1475</v>
      </c>
      <c r="L142" s="53" t="s">
        <v>15</v>
      </c>
      <c r="M142" s="53" t="s">
        <v>15</v>
      </c>
      <c r="N142" s="53" t="s">
        <v>15</v>
      </c>
      <c r="O142" s="53" t="s">
        <v>15</v>
      </c>
    </row>
    <row r="143" spans="1:15" x14ac:dyDescent="0.25">
      <c r="A143" s="52" t="s">
        <v>4389</v>
      </c>
      <c r="B143" s="54" t="str">
        <f t="shared" si="2"/>
        <v>IC,,,MAX4168ESD,</v>
      </c>
      <c r="C143" s="53" t="s">
        <v>15</v>
      </c>
      <c r="D143" s="53" t="s">
        <v>15</v>
      </c>
      <c r="E143" s="53" t="s">
        <v>15</v>
      </c>
      <c r="F143" s="53" t="s">
        <v>15</v>
      </c>
      <c r="G143" s="53"/>
      <c r="H143" s="53" t="s">
        <v>15</v>
      </c>
      <c r="I143" s="53" t="s">
        <v>1476</v>
      </c>
      <c r="J143" s="53" t="s">
        <v>15</v>
      </c>
      <c r="K143" s="53" t="s">
        <v>1477</v>
      </c>
      <c r="L143" s="53" t="s">
        <v>15</v>
      </c>
      <c r="M143" s="53" t="s">
        <v>15</v>
      </c>
      <c r="N143" s="53" t="s">
        <v>15</v>
      </c>
      <c r="O143" s="53" t="s">
        <v>15</v>
      </c>
    </row>
    <row r="144" spans="1:15" x14ac:dyDescent="0.25">
      <c r="A144" s="52" t="s">
        <v>4390</v>
      </c>
      <c r="B144" s="54" t="str">
        <f t="shared" si="2"/>
        <v>IC,,,LTC1386CS,</v>
      </c>
      <c r="C144" s="53" t="s">
        <v>15</v>
      </c>
      <c r="D144" s="53" t="s">
        <v>15</v>
      </c>
      <c r="E144" s="53" t="s">
        <v>15</v>
      </c>
      <c r="F144" s="53" t="s">
        <v>15</v>
      </c>
      <c r="G144" s="53"/>
      <c r="H144" s="53" t="s">
        <v>15</v>
      </c>
      <c r="I144" s="53" t="s">
        <v>1478</v>
      </c>
      <c r="J144" s="53" t="s">
        <v>15</v>
      </c>
      <c r="K144" s="53" t="s">
        <v>1479</v>
      </c>
      <c r="L144" s="53" t="s">
        <v>15</v>
      </c>
      <c r="M144" s="53" t="s">
        <v>15</v>
      </c>
      <c r="N144" s="53" t="s">
        <v>15</v>
      </c>
      <c r="O144" s="53" t="s">
        <v>15</v>
      </c>
    </row>
    <row r="145" spans="1:15" x14ac:dyDescent="0.25">
      <c r="A145" s="52" t="s">
        <v>4391</v>
      </c>
      <c r="B145" s="54" t="str">
        <f t="shared" si="2"/>
        <v>IC,,,MAX708RESA,SO8</v>
      </c>
      <c r="C145" s="53" t="s">
        <v>15</v>
      </c>
      <c r="D145" s="53" t="s">
        <v>15</v>
      </c>
      <c r="E145" s="53" t="s">
        <v>15</v>
      </c>
      <c r="F145" s="53" t="s">
        <v>15</v>
      </c>
      <c r="G145" s="53"/>
      <c r="H145" s="53" t="s">
        <v>15</v>
      </c>
      <c r="I145" s="53" t="s">
        <v>1480</v>
      </c>
      <c r="J145" s="53" t="s">
        <v>1147</v>
      </c>
      <c r="K145" s="53" t="s">
        <v>1481</v>
      </c>
      <c r="L145" s="53" t="s">
        <v>15</v>
      </c>
      <c r="M145" s="53" t="s">
        <v>15</v>
      </c>
      <c r="N145" s="53" t="s">
        <v>15</v>
      </c>
      <c r="O145" s="53" t="s">
        <v>15</v>
      </c>
    </row>
    <row r="146" spans="1:15" x14ac:dyDescent="0.25">
      <c r="A146" s="52" t="s">
        <v>4392</v>
      </c>
      <c r="B146" s="54" t="str">
        <f t="shared" si="2"/>
        <v>IC,OPAMP,SINGLE,SGS,741C,SO8</v>
      </c>
      <c r="C146" s="53" t="s">
        <v>15</v>
      </c>
      <c r="D146" s="53" t="s">
        <v>15</v>
      </c>
      <c r="E146" s="53" t="s">
        <v>15</v>
      </c>
      <c r="F146" s="53" t="s">
        <v>15</v>
      </c>
      <c r="G146" s="53" t="s">
        <v>4026</v>
      </c>
      <c r="H146" s="53" t="s">
        <v>1482</v>
      </c>
      <c r="I146" s="53" t="s">
        <v>1483</v>
      </c>
      <c r="J146" s="53" t="s">
        <v>1147</v>
      </c>
      <c r="K146" s="53" t="s">
        <v>1484</v>
      </c>
      <c r="L146" s="53" t="s">
        <v>15</v>
      </c>
      <c r="M146" s="53" t="s">
        <v>15</v>
      </c>
      <c r="N146" s="53" t="s">
        <v>1171</v>
      </c>
      <c r="O146" s="53" t="s">
        <v>15</v>
      </c>
    </row>
    <row r="147" spans="1:15" x14ac:dyDescent="0.25">
      <c r="A147" s="52" t="s">
        <v>4393</v>
      </c>
      <c r="B147" s="54" t="str">
        <f t="shared" si="2"/>
        <v>IC,,TI,LM339,SO14</v>
      </c>
      <c r="C147" s="53" t="s">
        <v>15</v>
      </c>
      <c r="D147" s="53" t="s">
        <v>15</v>
      </c>
      <c r="E147" s="53" t="s">
        <v>15</v>
      </c>
      <c r="F147" s="53" t="s">
        <v>15</v>
      </c>
      <c r="G147" s="53"/>
      <c r="H147" s="53" t="s">
        <v>1145</v>
      </c>
      <c r="I147" s="53" t="s">
        <v>1485</v>
      </c>
      <c r="J147" s="53" t="s">
        <v>1194</v>
      </c>
      <c r="K147" s="53" t="s">
        <v>1486</v>
      </c>
      <c r="L147" s="53" t="s">
        <v>15</v>
      </c>
      <c r="M147" s="53" t="s">
        <v>15</v>
      </c>
      <c r="N147" s="53" t="s">
        <v>1487</v>
      </c>
      <c r="O147" s="53" t="s">
        <v>15</v>
      </c>
    </row>
    <row r="148" spans="1:15" x14ac:dyDescent="0.25">
      <c r="A148" s="52" t="s">
        <v>4394</v>
      </c>
      <c r="B148" s="54" t="str">
        <f t="shared" si="2"/>
        <v>IC,XCVR,RS232,,MAX232,SO16</v>
      </c>
      <c r="C148" s="53" t="s">
        <v>15</v>
      </c>
      <c r="D148" s="53" t="s">
        <v>15</v>
      </c>
      <c r="E148" s="53" t="s">
        <v>15</v>
      </c>
      <c r="F148" s="53" t="s">
        <v>15</v>
      </c>
      <c r="G148" s="53" t="s">
        <v>4963</v>
      </c>
      <c r="H148" s="53" t="s">
        <v>15</v>
      </c>
      <c r="I148" s="53" t="s">
        <v>1488</v>
      </c>
      <c r="J148" s="53" t="s">
        <v>1261</v>
      </c>
      <c r="K148" s="53" t="s">
        <v>1489</v>
      </c>
      <c r="L148" s="53" t="s">
        <v>15</v>
      </c>
      <c r="M148" s="53" t="s">
        <v>15</v>
      </c>
      <c r="N148" s="53" t="s">
        <v>15</v>
      </c>
      <c r="O148" s="53" t="s">
        <v>15</v>
      </c>
    </row>
    <row r="149" spans="1:15" x14ac:dyDescent="0.25">
      <c r="A149" s="52" t="s">
        <v>4395</v>
      </c>
      <c r="B149" s="54" t="str">
        <f t="shared" si="2"/>
        <v>IC,,,MAX7428,SOT28</v>
      </c>
      <c r="C149" s="53" t="s">
        <v>15</v>
      </c>
      <c r="D149" s="53" t="s">
        <v>15</v>
      </c>
      <c r="E149" s="53" t="s">
        <v>15</v>
      </c>
      <c r="F149" s="53" t="s">
        <v>15</v>
      </c>
      <c r="G149" s="53"/>
      <c r="H149" s="53" t="s">
        <v>15</v>
      </c>
      <c r="I149" s="53" t="s">
        <v>1490</v>
      </c>
      <c r="J149" s="53" t="s">
        <v>1453</v>
      </c>
      <c r="K149" s="53" t="s">
        <v>1491</v>
      </c>
      <c r="L149" s="53" t="s">
        <v>15</v>
      </c>
      <c r="M149" s="53" t="s">
        <v>15</v>
      </c>
      <c r="N149" s="53" t="s">
        <v>15</v>
      </c>
      <c r="O149" s="53" t="s">
        <v>15</v>
      </c>
    </row>
    <row r="150" spans="1:15" x14ac:dyDescent="0.25">
      <c r="A150" s="52" t="s">
        <v>4396</v>
      </c>
      <c r="B150" s="54" t="str">
        <f t="shared" si="2"/>
        <v>IC,,,LM2940IS-3.3,</v>
      </c>
      <c r="C150" s="53" t="s">
        <v>15</v>
      </c>
      <c r="D150" s="53" t="s">
        <v>15</v>
      </c>
      <c r="E150" s="53" t="s">
        <v>15</v>
      </c>
      <c r="F150" s="53" t="s">
        <v>15</v>
      </c>
      <c r="G150" s="53"/>
      <c r="H150" s="53" t="s">
        <v>15</v>
      </c>
      <c r="I150" s="53" t="s">
        <v>1492</v>
      </c>
      <c r="J150" s="53" t="s">
        <v>15</v>
      </c>
      <c r="K150" s="53" t="s">
        <v>1493</v>
      </c>
      <c r="L150" s="53" t="s">
        <v>15</v>
      </c>
      <c r="M150" s="53" t="s">
        <v>15</v>
      </c>
      <c r="N150" s="53" t="s">
        <v>1176</v>
      </c>
      <c r="O150" s="53" t="s">
        <v>15</v>
      </c>
    </row>
    <row r="151" spans="1:15" x14ac:dyDescent="0.25">
      <c r="A151" s="52" t="s">
        <v>4397</v>
      </c>
      <c r="B151" s="54" t="str">
        <f t="shared" si="2"/>
        <v>IC,,ST,LD1117,DPAK</v>
      </c>
      <c r="C151" s="53" t="s">
        <v>15</v>
      </c>
      <c r="D151" s="53" t="s">
        <v>15</v>
      </c>
      <c r="E151" s="53" t="s">
        <v>15</v>
      </c>
      <c r="F151" s="53" t="s">
        <v>15</v>
      </c>
      <c r="G151" s="53"/>
      <c r="H151" s="53" t="s">
        <v>807</v>
      </c>
      <c r="I151" s="53" t="s">
        <v>1494</v>
      </c>
      <c r="J151" s="53" t="s">
        <v>932</v>
      </c>
      <c r="K151" s="53" t="s">
        <v>1495</v>
      </c>
      <c r="L151" s="53" t="s">
        <v>15</v>
      </c>
      <c r="M151" s="53" t="s">
        <v>15</v>
      </c>
      <c r="N151" s="53" t="s">
        <v>1176</v>
      </c>
      <c r="O151" s="53" t="s">
        <v>15</v>
      </c>
    </row>
    <row r="152" spans="1:15" x14ac:dyDescent="0.25">
      <c r="A152" s="52" t="s">
        <v>4398</v>
      </c>
      <c r="B152" s="54" t="str">
        <f t="shared" si="2"/>
        <v>IC,REGULATOR,LINEAR,ONSEMI,78M05,DPAK</v>
      </c>
      <c r="C152" s="53" t="s">
        <v>15</v>
      </c>
      <c r="D152" s="53" t="s">
        <v>15</v>
      </c>
      <c r="E152" s="53" t="s">
        <v>15</v>
      </c>
      <c r="F152" s="53" t="s">
        <v>15</v>
      </c>
      <c r="G152" s="53" t="s">
        <v>4964</v>
      </c>
      <c r="H152" s="53" t="s">
        <v>685</v>
      </c>
      <c r="I152" s="53" t="s">
        <v>1496</v>
      </c>
      <c r="J152" s="53" t="s">
        <v>932</v>
      </c>
      <c r="K152" s="53" t="s">
        <v>1497</v>
      </c>
      <c r="L152" s="53" t="s">
        <v>15</v>
      </c>
      <c r="M152" s="53" t="s">
        <v>15</v>
      </c>
      <c r="N152" s="53" t="s">
        <v>1176</v>
      </c>
      <c r="O152" s="53" t="s">
        <v>15</v>
      </c>
    </row>
    <row r="153" spans="1:15" x14ac:dyDescent="0.25">
      <c r="A153" s="52" t="s">
        <v>4399</v>
      </c>
      <c r="B153" s="54" t="str">
        <f t="shared" si="2"/>
        <v>IC,REGULATOR,LINEAR,,LF18A,DPAK5</v>
      </c>
      <c r="C153" s="53" t="s">
        <v>15</v>
      </c>
      <c r="D153" s="53" t="s">
        <v>15</v>
      </c>
      <c r="E153" s="53" t="s">
        <v>15</v>
      </c>
      <c r="F153" s="53" t="s">
        <v>15</v>
      </c>
      <c r="G153" s="53" t="s">
        <v>4964</v>
      </c>
      <c r="H153" s="53" t="s">
        <v>15</v>
      </c>
      <c r="I153" s="53" t="s">
        <v>1498</v>
      </c>
      <c r="J153" s="53" t="s">
        <v>1499</v>
      </c>
      <c r="K153" s="53" t="s">
        <v>1500</v>
      </c>
      <c r="L153" s="53" t="s">
        <v>15</v>
      </c>
      <c r="M153" s="53" t="s">
        <v>15</v>
      </c>
      <c r="N153" s="53" t="s">
        <v>1176</v>
      </c>
      <c r="O153" s="53" t="s">
        <v>15</v>
      </c>
    </row>
    <row r="154" spans="1:15" x14ac:dyDescent="0.25">
      <c r="A154" s="52" t="s">
        <v>4400</v>
      </c>
      <c r="B154" s="54" t="str">
        <f t="shared" si="2"/>
        <v>IC,REGULATOR,LINEAR,,LT1117,SOT223</v>
      </c>
      <c r="C154" s="53" t="s">
        <v>15</v>
      </c>
      <c r="D154" s="53" t="s">
        <v>15</v>
      </c>
      <c r="E154" s="53" t="s">
        <v>15</v>
      </c>
      <c r="F154" s="53" t="s">
        <v>15</v>
      </c>
      <c r="G154" s="53" t="s">
        <v>4964</v>
      </c>
      <c r="H154" s="53" t="s">
        <v>15</v>
      </c>
      <c r="I154" s="53" t="s">
        <v>1501</v>
      </c>
      <c r="J154" s="53" t="s">
        <v>1280</v>
      </c>
      <c r="K154" s="53" t="s">
        <v>1502</v>
      </c>
      <c r="L154" s="53" t="s">
        <v>15</v>
      </c>
      <c r="M154" s="53" t="s">
        <v>15</v>
      </c>
      <c r="N154" s="53" t="s">
        <v>1176</v>
      </c>
      <c r="O154" s="53" t="s">
        <v>15</v>
      </c>
    </row>
    <row r="155" spans="1:15" x14ac:dyDescent="0.25">
      <c r="A155" s="52" t="s">
        <v>4401</v>
      </c>
      <c r="B155" s="54" t="str">
        <f t="shared" si="2"/>
        <v>IC,,,L6932D1.2,</v>
      </c>
      <c r="C155" s="53" t="s">
        <v>15</v>
      </c>
      <c r="D155" s="53" t="s">
        <v>15</v>
      </c>
      <c r="E155" s="53" t="s">
        <v>15</v>
      </c>
      <c r="F155" s="53" t="s">
        <v>15</v>
      </c>
      <c r="G155" s="53"/>
      <c r="H155" s="53" t="s">
        <v>15</v>
      </c>
      <c r="I155" s="53" t="s">
        <v>1503</v>
      </c>
      <c r="J155" s="53" t="s">
        <v>15</v>
      </c>
      <c r="K155" s="53" t="s">
        <v>1504</v>
      </c>
      <c r="L155" s="53" t="s">
        <v>15</v>
      </c>
      <c r="M155" s="53" t="s">
        <v>15</v>
      </c>
      <c r="N155" s="53" t="s">
        <v>1176</v>
      </c>
      <c r="O155" s="53" t="s">
        <v>15</v>
      </c>
    </row>
    <row r="156" spans="1:15" x14ac:dyDescent="0.25">
      <c r="A156" s="52" t="s">
        <v>4402</v>
      </c>
      <c r="B156" s="54" t="str">
        <f t="shared" si="2"/>
        <v>IC,,,IRU3037CS,</v>
      </c>
      <c r="C156" s="53" t="s">
        <v>15</v>
      </c>
      <c r="D156" s="53" t="s">
        <v>15</v>
      </c>
      <c r="E156" s="53" t="s">
        <v>15</v>
      </c>
      <c r="F156" s="53" t="s">
        <v>15</v>
      </c>
      <c r="G156" s="53"/>
      <c r="H156" s="53" t="s">
        <v>15</v>
      </c>
      <c r="I156" s="53" t="s">
        <v>1505</v>
      </c>
      <c r="J156" s="53" t="s">
        <v>15</v>
      </c>
      <c r="K156" s="53" t="s">
        <v>1506</v>
      </c>
      <c r="L156" s="53" t="s">
        <v>15</v>
      </c>
      <c r="M156" s="53" t="s">
        <v>15</v>
      </c>
      <c r="N156" s="53" t="s">
        <v>15</v>
      </c>
      <c r="O156" s="53" t="s">
        <v>15</v>
      </c>
    </row>
    <row r="157" spans="1:15" x14ac:dyDescent="0.25">
      <c r="A157" s="52" t="s">
        <v>4403</v>
      </c>
      <c r="B157" s="54" t="str">
        <f t="shared" si="2"/>
        <v>IC,,,L6932D1.8,</v>
      </c>
      <c r="C157" s="53" t="s">
        <v>15</v>
      </c>
      <c r="D157" s="53" t="s">
        <v>15</v>
      </c>
      <c r="E157" s="53" t="s">
        <v>15</v>
      </c>
      <c r="F157" s="53" t="s">
        <v>15</v>
      </c>
      <c r="G157" s="53"/>
      <c r="H157" s="53" t="s">
        <v>15</v>
      </c>
      <c r="I157" s="53" t="s">
        <v>1507</v>
      </c>
      <c r="J157" s="53" t="s">
        <v>15</v>
      </c>
      <c r="K157" s="53" t="s">
        <v>1508</v>
      </c>
      <c r="L157" s="53" t="s">
        <v>15</v>
      </c>
      <c r="M157" s="53" t="s">
        <v>15</v>
      </c>
      <c r="N157" s="53" t="s">
        <v>1176</v>
      </c>
      <c r="O157" s="53" t="s">
        <v>15</v>
      </c>
    </row>
    <row r="158" spans="1:15" x14ac:dyDescent="0.25">
      <c r="A158" s="52" t="s">
        <v>4404</v>
      </c>
      <c r="B158" s="54" t="str">
        <f t="shared" si="2"/>
        <v>IC,,ALLIANCE,AS7C340098-15TI,</v>
      </c>
      <c r="C158" s="53" t="s">
        <v>15</v>
      </c>
      <c r="D158" s="53" t="s">
        <v>15</v>
      </c>
      <c r="E158" s="53" t="s">
        <v>15</v>
      </c>
      <c r="F158" s="53" t="s">
        <v>15</v>
      </c>
      <c r="G158" s="53"/>
      <c r="H158" s="53" t="s">
        <v>1509</v>
      </c>
      <c r="I158" s="53" t="s">
        <v>1510</v>
      </c>
      <c r="J158" s="53" t="s">
        <v>15</v>
      </c>
      <c r="K158" s="53" t="s">
        <v>1511</v>
      </c>
      <c r="L158" s="53" t="s">
        <v>15</v>
      </c>
      <c r="M158" s="53" t="s">
        <v>15</v>
      </c>
      <c r="N158" s="53" t="s">
        <v>1256</v>
      </c>
      <c r="O158" s="53" t="s">
        <v>15</v>
      </c>
    </row>
    <row r="159" spans="1:15" x14ac:dyDescent="0.25">
      <c r="A159" s="52" t="s">
        <v>4405</v>
      </c>
      <c r="B159" s="54" t="str">
        <f t="shared" si="2"/>
        <v>IC,,SST,SST38VF166-70-4C-EK,</v>
      </c>
      <c r="C159" s="53" t="s">
        <v>15</v>
      </c>
      <c r="D159" s="53" t="s">
        <v>15</v>
      </c>
      <c r="E159" s="53" t="s">
        <v>15</v>
      </c>
      <c r="F159" s="53" t="s">
        <v>15</v>
      </c>
      <c r="G159" s="53"/>
      <c r="H159" s="53" t="s">
        <v>1512</v>
      </c>
      <c r="I159" s="53" t="s">
        <v>1513</v>
      </c>
      <c r="J159" s="53" t="s">
        <v>15</v>
      </c>
      <c r="K159" s="53" t="s">
        <v>1514</v>
      </c>
      <c r="L159" s="53" t="s">
        <v>15</v>
      </c>
      <c r="M159" s="53" t="s">
        <v>15</v>
      </c>
      <c r="N159" s="53" t="s">
        <v>1256</v>
      </c>
      <c r="O159" s="53" t="s">
        <v>15</v>
      </c>
    </row>
    <row r="160" spans="1:15" x14ac:dyDescent="0.25">
      <c r="A160" s="52" t="s">
        <v>4406</v>
      </c>
      <c r="B160" s="54" t="str">
        <f t="shared" si="2"/>
        <v>IC,,SAMSUNG,K4S161622D-TC80,</v>
      </c>
      <c r="C160" s="53" t="s">
        <v>15</v>
      </c>
      <c r="D160" s="53" t="s">
        <v>15</v>
      </c>
      <c r="E160" s="53" t="s">
        <v>15</v>
      </c>
      <c r="F160" s="53" t="s">
        <v>15</v>
      </c>
      <c r="G160" s="53"/>
      <c r="H160" s="53" t="s">
        <v>1515</v>
      </c>
      <c r="I160" s="53" t="s">
        <v>1516</v>
      </c>
      <c r="J160" s="53" t="s">
        <v>15</v>
      </c>
      <c r="K160" s="53" t="s">
        <v>1517</v>
      </c>
      <c r="L160" s="53" t="s">
        <v>15</v>
      </c>
      <c r="M160" s="53" t="s">
        <v>15</v>
      </c>
      <c r="N160" s="53" t="s">
        <v>1256</v>
      </c>
      <c r="O160" s="53" t="s">
        <v>15</v>
      </c>
    </row>
    <row r="161" spans="1:15" x14ac:dyDescent="0.25">
      <c r="A161" s="52" t="s">
        <v>4407</v>
      </c>
      <c r="B161" s="54" t="str">
        <f t="shared" si="2"/>
        <v>IC,,TOSHIBA,TC55V16100FT-12,</v>
      </c>
      <c r="C161" s="53" t="s">
        <v>15</v>
      </c>
      <c r="D161" s="53" t="s">
        <v>15</v>
      </c>
      <c r="E161" s="53" t="s">
        <v>15</v>
      </c>
      <c r="F161" s="53" t="s">
        <v>15</v>
      </c>
      <c r="G161" s="53"/>
      <c r="H161" s="53" t="s">
        <v>1021</v>
      </c>
      <c r="I161" s="53" t="s">
        <v>1518</v>
      </c>
      <c r="J161" s="53" t="s">
        <v>15</v>
      </c>
      <c r="K161" s="53" t="s">
        <v>1519</v>
      </c>
      <c r="L161" s="53" t="s">
        <v>15</v>
      </c>
      <c r="M161" s="53" t="s">
        <v>15</v>
      </c>
      <c r="N161" s="53" t="s">
        <v>1256</v>
      </c>
      <c r="O161" s="53" t="s">
        <v>15</v>
      </c>
    </row>
    <row r="162" spans="1:15" x14ac:dyDescent="0.25">
      <c r="A162" s="52" t="s">
        <v>4408</v>
      </c>
      <c r="B162" s="54" t="str">
        <f t="shared" si="2"/>
        <v>IC,,TI,BB1117,SOT223</v>
      </c>
      <c r="C162" s="53" t="s">
        <v>15</v>
      </c>
      <c r="D162" s="53" t="s">
        <v>15</v>
      </c>
      <c r="E162" s="53" t="s">
        <v>15</v>
      </c>
      <c r="F162" s="53" t="s">
        <v>15</v>
      </c>
      <c r="G162" s="53"/>
      <c r="H162" s="53" t="s">
        <v>1145</v>
      </c>
      <c r="I162" s="53" t="s">
        <v>1520</v>
      </c>
      <c r="J162" s="53" t="s">
        <v>1280</v>
      </c>
      <c r="K162" s="53" t="s">
        <v>1521</v>
      </c>
      <c r="L162" s="53" t="s">
        <v>15</v>
      </c>
      <c r="M162" s="53" t="s">
        <v>15</v>
      </c>
      <c r="N162" s="53" t="s">
        <v>1176</v>
      </c>
      <c r="O162" s="53" t="s">
        <v>15</v>
      </c>
    </row>
    <row r="163" spans="1:15" x14ac:dyDescent="0.25">
      <c r="A163" s="52" t="s">
        <v>4409</v>
      </c>
      <c r="B163" s="54" t="str">
        <f t="shared" si="2"/>
        <v>IC,,,ADSL FUSE,</v>
      </c>
      <c r="C163" s="53" t="s">
        <v>15</v>
      </c>
      <c r="D163" s="53" t="s">
        <v>15</v>
      </c>
      <c r="E163" s="53" t="s">
        <v>15</v>
      </c>
      <c r="F163" s="53" t="s">
        <v>15</v>
      </c>
      <c r="G163" s="53"/>
      <c r="H163" s="53" t="s">
        <v>15</v>
      </c>
      <c r="I163" s="53" t="s">
        <v>1522</v>
      </c>
      <c r="J163" s="53" t="s">
        <v>15</v>
      </c>
      <c r="K163" s="53" t="s">
        <v>1523</v>
      </c>
      <c r="L163" s="53" t="s">
        <v>15</v>
      </c>
      <c r="M163" s="53" t="s">
        <v>15</v>
      </c>
      <c r="N163" s="53" t="s">
        <v>15</v>
      </c>
      <c r="O163" s="53" t="s">
        <v>15</v>
      </c>
    </row>
    <row r="164" spans="1:15" x14ac:dyDescent="0.25">
      <c r="A164" s="52" t="s">
        <v>4410</v>
      </c>
      <c r="B164" s="54" t="str">
        <f t="shared" si="2"/>
        <v>IC,,,LP3964-2.5,</v>
      </c>
      <c r="C164" s="53" t="s">
        <v>15</v>
      </c>
      <c r="D164" s="53" t="s">
        <v>15</v>
      </c>
      <c r="E164" s="53" t="s">
        <v>15</v>
      </c>
      <c r="F164" s="53" t="s">
        <v>15</v>
      </c>
      <c r="G164" s="53"/>
      <c r="H164" s="53" t="s">
        <v>15</v>
      </c>
      <c r="I164" s="53" t="s">
        <v>1524</v>
      </c>
      <c r="J164" s="53" t="s">
        <v>15</v>
      </c>
      <c r="K164" s="53" t="s">
        <v>1525</v>
      </c>
      <c r="L164" s="53" t="s">
        <v>15</v>
      </c>
      <c r="M164" s="53" t="s">
        <v>15</v>
      </c>
      <c r="N164" s="53" t="s">
        <v>1176</v>
      </c>
      <c r="O164" s="53" t="s">
        <v>15</v>
      </c>
    </row>
    <row r="165" spans="1:15" x14ac:dyDescent="0.25">
      <c r="A165" s="52" t="s">
        <v>4411</v>
      </c>
      <c r="B165" s="54" t="str">
        <f t="shared" si="2"/>
        <v>IC,,,AT29LV040A,</v>
      </c>
      <c r="C165" s="53" t="s">
        <v>15</v>
      </c>
      <c r="D165" s="53" t="s">
        <v>15</v>
      </c>
      <c r="E165" s="53" t="s">
        <v>15</v>
      </c>
      <c r="F165" s="53" t="s">
        <v>15</v>
      </c>
      <c r="G165" s="53"/>
      <c r="H165" s="53" t="s">
        <v>15</v>
      </c>
      <c r="I165" s="53" t="s">
        <v>1526</v>
      </c>
      <c r="J165" s="53" t="s">
        <v>15</v>
      </c>
      <c r="K165" s="53" t="s">
        <v>1527</v>
      </c>
      <c r="L165" s="53" t="s">
        <v>15</v>
      </c>
      <c r="M165" s="53" t="s">
        <v>15</v>
      </c>
      <c r="N165" s="53" t="s">
        <v>1256</v>
      </c>
      <c r="O165" s="53" t="s">
        <v>15</v>
      </c>
    </row>
    <row r="166" spans="1:15" x14ac:dyDescent="0.25">
      <c r="A166" s="52" t="s">
        <v>4412</v>
      </c>
      <c r="B166" s="54" t="str">
        <f t="shared" si="2"/>
        <v>IC,,,LM3940IS-3.3,</v>
      </c>
      <c r="C166" s="53" t="s">
        <v>15</v>
      </c>
      <c r="D166" s="53" t="s">
        <v>15</v>
      </c>
      <c r="E166" s="53" t="s">
        <v>15</v>
      </c>
      <c r="F166" s="53" t="s">
        <v>15</v>
      </c>
      <c r="G166" s="53"/>
      <c r="H166" s="53" t="s">
        <v>15</v>
      </c>
      <c r="I166" s="53" t="s">
        <v>1528</v>
      </c>
      <c r="J166" s="53" t="s">
        <v>15</v>
      </c>
      <c r="K166" s="53" t="s">
        <v>1529</v>
      </c>
      <c r="L166" s="53" t="s">
        <v>15</v>
      </c>
      <c r="M166" s="53" t="s">
        <v>15</v>
      </c>
      <c r="N166" s="53" t="s">
        <v>1176</v>
      </c>
      <c r="O166" s="53" t="s">
        <v>15</v>
      </c>
    </row>
    <row r="167" spans="1:15" x14ac:dyDescent="0.25">
      <c r="A167" s="52" t="s">
        <v>4413</v>
      </c>
      <c r="B167" s="54" t="str">
        <f t="shared" si="2"/>
        <v>IC,,,TPS76333,</v>
      </c>
      <c r="C167" s="53" t="s">
        <v>15</v>
      </c>
      <c r="D167" s="53" t="s">
        <v>15</v>
      </c>
      <c r="E167" s="53" t="s">
        <v>15</v>
      </c>
      <c r="F167" s="53" t="s">
        <v>15</v>
      </c>
      <c r="G167" s="53"/>
      <c r="H167" s="53" t="s">
        <v>15</v>
      </c>
      <c r="I167" s="53" t="s">
        <v>1530</v>
      </c>
      <c r="J167" s="53" t="s">
        <v>15</v>
      </c>
      <c r="K167" s="53" t="s">
        <v>1531</v>
      </c>
      <c r="L167" s="53" t="s">
        <v>15</v>
      </c>
      <c r="M167" s="53" t="s">
        <v>15</v>
      </c>
      <c r="N167" s="53" t="s">
        <v>15</v>
      </c>
      <c r="O167" s="53" t="s">
        <v>15</v>
      </c>
    </row>
    <row r="168" spans="1:15" x14ac:dyDescent="0.25">
      <c r="A168" s="52" t="s">
        <v>4414</v>
      </c>
      <c r="B168" s="54" t="str">
        <f t="shared" si="2"/>
        <v>IC,,TOSHIBA,740L6000,</v>
      </c>
      <c r="C168" s="53" t="s">
        <v>15</v>
      </c>
      <c r="D168" s="53" t="s">
        <v>15</v>
      </c>
      <c r="E168" s="53" t="s">
        <v>15</v>
      </c>
      <c r="F168" s="53" t="s">
        <v>15</v>
      </c>
      <c r="G168" s="53"/>
      <c r="H168" s="53" t="s">
        <v>1021</v>
      </c>
      <c r="I168" s="53" t="s">
        <v>1532</v>
      </c>
      <c r="J168" s="53" t="s">
        <v>15</v>
      </c>
      <c r="K168" s="53" t="s">
        <v>1533</v>
      </c>
      <c r="L168" s="53" t="s">
        <v>15</v>
      </c>
      <c r="M168" s="53" t="s">
        <v>15</v>
      </c>
      <c r="N168" s="53" t="s">
        <v>1534</v>
      </c>
      <c r="O168" s="53" t="s">
        <v>15</v>
      </c>
    </row>
    <row r="169" spans="1:15" x14ac:dyDescent="0.25">
      <c r="A169" s="52" t="s">
        <v>4415</v>
      </c>
      <c r="B169" s="54" t="str">
        <f t="shared" si="2"/>
        <v>IC,,Q,952S,</v>
      </c>
      <c r="C169" s="53" t="s">
        <v>15</v>
      </c>
      <c r="D169" s="53" t="s">
        <v>15</v>
      </c>
      <c r="E169" s="53" t="s">
        <v>15</v>
      </c>
      <c r="F169" s="53" t="s">
        <v>15</v>
      </c>
      <c r="G169" s="53"/>
      <c r="H169" s="53" t="s">
        <v>1535</v>
      </c>
      <c r="I169" s="53" t="s">
        <v>1536</v>
      </c>
      <c r="J169" s="53" t="s">
        <v>15</v>
      </c>
      <c r="K169" s="53" t="s">
        <v>1537</v>
      </c>
      <c r="L169" s="53" t="s">
        <v>15</v>
      </c>
      <c r="M169" s="53" t="s">
        <v>15</v>
      </c>
      <c r="N169" s="53" t="s">
        <v>1538</v>
      </c>
      <c r="O169" s="53" t="s">
        <v>15</v>
      </c>
    </row>
    <row r="170" spans="1:15" x14ac:dyDescent="0.25">
      <c r="A170" s="52" t="s">
        <v>4416</v>
      </c>
      <c r="B170" s="54" t="str">
        <f t="shared" si="2"/>
        <v>IC,,LINEAR TECHNOLOGIES,LM334Z,TO92</v>
      </c>
      <c r="C170" s="53" t="s">
        <v>15</v>
      </c>
      <c r="D170" s="53" t="s">
        <v>15</v>
      </c>
      <c r="E170" s="53" t="s">
        <v>15</v>
      </c>
      <c r="F170" s="53" t="s">
        <v>15</v>
      </c>
      <c r="G170" s="53"/>
      <c r="H170" s="53" t="s">
        <v>1247</v>
      </c>
      <c r="I170" s="53" t="s">
        <v>1539</v>
      </c>
      <c r="J170" s="53" t="s">
        <v>1540</v>
      </c>
      <c r="K170" s="53" t="s">
        <v>15</v>
      </c>
      <c r="L170" s="53" t="s">
        <v>61</v>
      </c>
      <c r="M170" s="53" t="s">
        <v>1541</v>
      </c>
      <c r="N170" s="53" t="s">
        <v>1542</v>
      </c>
      <c r="O170" s="53" t="s">
        <v>15</v>
      </c>
    </row>
    <row r="171" spans="1:15" x14ac:dyDescent="0.25">
      <c r="A171" s="52" t="s">
        <v>4417</v>
      </c>
      <c r="B171" s="54" t="str">
        <f t="shared" si="2"/>
        <v>IC,,TI,LM385Z-1.2,TO92</v>
      </c>
      <c r="C171" s="53" t="s">
        <v>15</v>
      </c>
      <c r="D171" s="53" t="s">
        <v>15</v>
      </c>
      <c r="E171" s="53" t="s">
        <v>15</v>
      </c>
      <c r="F171" s="53" t="s">
        <v>15</v>
      </c>
      <c r="G171" s="53"/>
      <c r="H171" s="53" t="s">
        <v>1145</v>
      </c>
      <c r="I171" s="53" t="s">
        <v>1543</v>
      </c>
      <c r="J171" s="53" t="s">
        <v>1540</v>
      </c>
      <c r="K171" s="53" t="s">
        <v>15</v>
      </c>
      <c r="L171" s="53" t="s">
        <v>61</v>
      </c>
      <c r="M171" s="53" t="s">
        <v>1544</v>
      </c>
      <c r="N171" s="53" t="s">
        <v>1545</v>
      </c>
      <c r="O171" s="53" t="s">
        <v>15</v>
      </c>
    </row>
    <row r="172" spans="1:15" x14ac:dyDescent="0.25">
      <c r="A172" s="52" t="s">
        <v>4418</v>
      </c>
      <c r="B172" s="54" t="str">
        <f t="shared" si="2"/>
        <v>IC,LOGIC,QUAD NAND SCHMITTTRIGGER,TI,74HC132N,DIP14</v>
      </c>
      <c r="C172" s="53" t="s">
        <v>15</v>
      </c>
      <c r="D172" s="53" t="s">
        <v>15</v>
      </c>
      <c r="E172" s="53" t="s">
        <v>15</v>
      </c>
      <c r="F172" s="53" t="s">
        <v>15</v>
      </c>
      <c r="G172" s="53" t="s">
        <v>4949</v>
      </c>
      <c r="H172" s="53" t="s">
        <v>1145</v>
      </c>
      <c r="I172" s="53" t="s">
        <v>1546</v>
      </c>
      <c r="J172" s="53" t="s">
        <v>428</v>
      </c>
      <c r="K172" s="53" t="s">
        <v>15</v>
      </c>
      <c r="L172" s="53" t="s">
        <v>61</v>
      </c>
      <c r="M172" s="53" t="s">
        <v>1547</v>
      </c>
      <c r="N172" s="53" t="s">
        <v>1337</v>
      </c>
      <c r="O172" s="53" t="s">
        <v>15</v>
      </c>
    </row>
    <row r="173" spans="1:15" x14ac:dyDescent="0.25">
      <c r="A173" s="52" t="s">
        <v>4419</v>
      </c>
      <c r="B173" s="54" t="str">
        <f t="shared" si="2"/>
        <v>IC,OPAMP,ELECTROMETER,NATSEMI,LMC6062IN,DIP8</v>
      </c>
      <c r="C173" s="53" t="s">
        <v>15</v>
      </c>
      <c r="D173" s="53" t="s">
        <v>15</v>
      </c>
      <c r="E173" s="53" t="s">
        <v>15</v>
      </c>
      <c r="F173" s="53" t="s">
        <v>15</v>
      </c>
      <c r="G173" s="53" t="s">
        <v>4947</v>
      </c>
      <c r="H173" s="53" t="s">
        <v>1374</v>
      </c>
      <c r="I173" s="53" t="s">
        <v>1548</v>
      </c>
      <c r="J173" s="53" t="s">
        <v>423</v>
      </c>
      <c r="K173" s="53" t="s">
        <v>15</v>
      </c>
      <c r="L173" s="53" t="s">
        <v>61</v>
      </c>
      <c r="M173" s="53" t="s">
        <v>1549</v>
      </c>
      <c r="N173" s="53" t="s">
        <v>1171</v>
      </c>
      <c r="O173" s="53" t="s">
        <v>15</v>
      </c>
    </row>
    <row r="174" spans="1:15" x14ac:dyDescent="0.25">
      <c r="A174" s="52" t="s">
        <v>4420</v>
      </c>
      <c r="B174" s="54" t="str">
        <f t="shared" si="2"/>
        <v>IC,OPAMP,SINGLE,TI,LF411CP,DIP8</v>
      </c>
      <c r="C174" s="53" t="s">
        <v>15</v>
      </c>
      <c r="D174" s="53" t="s">
        <v>15</v>
      </c>
      <c r="E174" s="53" t="s">
        <v>15</v>
      </c>
      <c r="F174" s="53" t="s">
        <v>15</v>
      </c>
      <c r="G174" s="53" t="s">
        <v>4026</v>
      </c>
      <c r="H174" s="53" t="s">
        <v>1145</v>
      </c>
      <c r="I174" s="53" t="s">
        <v>1550</v>
      </c>
      <c r="J174" s="53" t="s">
        <v>423</v>
      </c>
      <c r="K174" s="53" t="s">
        <v>15</v>
      </c>
      <c r="L174" s="53" t="s">
        <v>61</v>
      </c>
      <c r="M174" s="53" t="s">
        <v>1551</v>
      </c>
      <c r="N174" s="53" t="s">
        <v>1171</v>
      </c>
      <c r="O174" s="53" t="s">
        <v>15</v>
      </c>
    </row>
    <row r="175" spans="1:15" x14ac:dyDescent="0.25">
      <c r="A175" s="52" t="s">
        <v>4421</v>
      </c>
      <c r="B175" s="54" t="str">
        <f t="shared" si="2"/>
        <v>IC,OPAMP,DUAL GENERAL PURPOSE,TI,LM2904P,DIP8</v>
      </c>
      <c r="C175" s="53" t="s">
        <v>15</v>
      </c>
      <c r="D175" s="53" t="s">
        <v>15</v>
      </c>
      <c r="E175" s="53" t="s">
        <v>15</v>
      </c>
      <c r="F175" s="53" t="s">
        <v>15</v>
      </c>
      <c r="G175" s="53" t="s">
        <v>4948</v>
      </c>
      <c r="H175" s="53" t="s">
        <v>1145</v>
      </c>
      <c r="I175" s="53" t="s">
        <v>1552</v>
      </c>
      <c r="J175" s="53" t="s">
        <v>423</v>
      </c>
      <c r="K175" s="53" t="s">
        <v>15</v>
      </c>
      <c r="L175" s="53" t="s">
        <v>61</v>
      </c>
      <c r="M175" s="53" t="s">
        <v>1553</v>
      </c>
      <c r="N175" s="53" t="s">
        <v>1171</v>
      </c>
      <c r="O175" s="53" t="s">
        <v>15</v>
      </c>
    </row>
    <row r="176" spans="1:15" x14ac:dyDescent="0.25">
      <c r="A176" s="52" t="s">
        <v>4422</v>
      </c>
      <c r="B176" s="54" t="str">
        <f t="shared" si="2"/>
        <v>IC,,TI,LF412,DIP8</v>
      </c>
      <c r="C176" s="53" t="s">
        <v>15</v>
      </c>
      <c r="D176" s="53" t="s">
        <v>15</v>
      </c>
      <c r="E176" s="53" t="s">
        <v>15</v>
      </c>
      <c r="F176" s="53" t="s">
        <v>15</v>
      </c>
      <c r="G176" s="53"/>
      <c r="H176" s="53" t="s">
        <v>1145</v>
      </c>
      <c r="I176" s="53" t="s">
        <v>1554</v>
      </c>
      <c r="J176" s="53" t="s">
        <v>423</v>
      </c>
      <c r="K176" s="53" t="s">
        <v>15</v>
      </c>
      <c r="L176" s="53" t="s">
        <v>61</v>
      </c>
      <c r="M176" s="53" t="s">
        <v>1555</v>
      </c>
      <c r="N176" s="53" t="s">
        <v>1171</v>
      </c>
      <c r="O176" s="53" t="s">
        <v>15</v>
      </c>
    </row>
    <row r="177" spans="1:15" x14ac:dyDescent="0.25">
      <c r="A177" s="52" t="s">
        <v>4423</v>
      </c>
      <c r="B177" s="54" t="str">
        <f t="shared" si="2"/>
        <v>IC,,NATIONAL,LP2980-ADJ,SOT25</v>
      </c>
      <c r="C177" s="53" t="s">
        <v>15</v>
      </c>
      <c r="D177" s="53" t="s">
        <v>15</v>
      </c>
      <c r="E177" s="53" t="s">
        <v>15</v>
      </c>
      <c r="F177" s="53" t="s">
        <v>15</v>
      </c>
      <c r="G177" s="53"/>
      <c r="H177" s="53" t="s">
        <v>1556</v>
      </c>
      <c r="I177" s="53" t="s">
        <v>1557</v>
      </c>
      <c r="J177" s="53" t="s">
        <v>1169</v>
      </c>
      <c r="K177" s="53" t="s">
        <v>1558</v>
      </c>
      <c r="L177" s="53" t="s">
        <v>15</v>
      </c>
      <c r="M177" s="53" t="s">
        <v>15</v>
      </c>
      <c r="N177" s="53" t="s">
        <v>15</v>
      </c>
      <c r="O177" s="53" t="s">
        <v>15</v>
      </c>
    </row>
    <row r="178" spans="1:15" x14ac:dyDescent="0.25">
      <c r="A178" s="52" t="s">
        <v>4424</v>
      </c>
      <c r="B178" s="54" t="str">
        <f t="shared" si="2"/>
        <v>IC,,ST,24C03,SO8</v>
      </c>
      <c r="C178" s="53" t="s">
        <v>15</v>
      </c>
      <c r="D178" s="53" t="s">
        <v>15</v>
      </c>
      <c r="E178" s="53" t="s">
        <v>15</v>
      </c>
      <c r="F178" s="53" t="s">
        <v>15</v>
      </c>
      <c r="G178" s="53"/>
      <c r="H178" s="53" t="s">
        <v>807</v>
      </c>
      <c r="I178" s="53" t="s">
        <v>1559</v>
      </c>
      <c r="J178" s="53" t="s">
        <v>1147</v>
      </c>
      <c r="K178" s="53" t="s">
        <v>1560</v>
      </c>
      <c r="L178" s="53" t="s">
        <v>15</v>
      </c>
      <c r="M178" s="53" t="s">
        <v>15</v>
      </c>
      <c r="N178" s="53" t="s">
        <v>15</v>
      </c>
      <c r="O178" s="53" t="s">
        <v>15</v>
      </c>
    </row>
    <row r="179" spans="1:15" x14ac:dyDescent="0.25">
      <c r="A179" s="52" t="s">
        <v>4425</v>
      </c>
      <c r="B179" s="54" t="str">
        <f t="shared" si="2"/>
        <v>IC,,ANALOG,OPA1632,MSOP8</v>
      </c>
      <c r="C179" s="53" t="s">
        <v>15</v>
      </c>
      <c r="D179" s="53" t="s">
        <v>15</v>
      </c>
      <c r="E179" s="53" t="s">
        <v>15</v>
      </c>
      <c r="F179" s="53" t="s">
        <v>15</v>
      </c>
      <c r="G179" s="53"/>
      <c r="H179" s="53" t="s">
        <v>1561</v>
      </c>
      <c r="I179" s="53" t="s">
        <v>1562</v>
      </c>
      <c r="J179" s="53" t="s">
        <v>1563</v>
      </c>
      <c r="K179" s="53" t="s">
        <v>1564</v>
      </c>
      <c r="L179" s="53" t="s">
        <v>15</v>
      </c>
      <c r="M179" s="53" t="s">
        <v>15</v>
      </c>
      <c r="N179" s="53" t="s">
        <v>15</v>
      </c>
      <c r="O179" s="53" t="s">
        <v>15</v>
      </c>
    </row>
    <row r="180" spans="1:15" x14ac:dyDescent="0.25">
      <c r="A180" s="52" t="s">
        <v>4426</v>
      </c>
      <c r="B180" s="54" t="str">
        <f t="shared" si="2"/>
        <v>IC,,ANALOG,AD5243BRMZ10,</v>
      </c>
      <c r="C180" s="53" t="s">
        <v>15</v>
      </c>
      <c r="D180" s="53" t="s">
        <v>15</v>
      </c>
      <c r="E180" s="53" t="s">
        <v>15</v>
      </c>
      <c r="F180" s="53" t="s">
        <v>15</v>
      </c>
      <c r="G180" s="53"/>
      <c r="H180" s="53" t="s">
        <v>1561</v>
      </c>
      <c r="I180" s="53" t="s">
        <v>1565</v>
      </c>
      <c r="J180" s="53" t="s">
        <v>15</v>
      </c>
      <c r="K180" s="53" t="s">
        <v>1566</v>
      </c>
      <c r="L180" s="53" t="s">
        <v>15</v>
      </c>
      <c r="M180" s="53" t="s">
        <v>15</v>
      </c>
      <c r="N180" s="53" t="s">
        <v>15</v>
      </c>
      <c r="O180" s="53" t="s">
        <v>15</v>
      </c>
    </row>
    <row r="181" spans="1:15" x14ac:dyDescent="0.25">
      <c r="A181" s="52" t="s">
        <v>4427</v>
      </c>
      <c r="B181" s="54" t="str">
        <f t="shared" si="2"/>
        <v>IC,,ALTERA,EPC1441PC8,DIP8</v>
      </c>
      <c r="C181" s="53" t="s">
        <v>15</v>
      </c>
      <c r="D181" s="53" t="s">
        <v>15</v>
      </c>
      <c r="E181" s="53" t="s">
        <v>15</v>
      </c>
      <c r="F181" s="53" t="s">
        <v>15</v>
      </c>
      <c r="G181" s="53"/>
      <c r="H181" s="53" t="s">
        <v>1567</v>
      </c>
      <c r="I181" s="53" t="s">
        <v>1568</v>
      </c>
      <c r="J181" s="53" t="s">
        <v>423</v>
      </c>
      <c r="K181" s="53" t="s">
        <v>1569</v>
      </c>
      <c r="L181" s="53" t="s">
        <v>15</v>
      </c>
      <c r="M181" s="53" t="s">
        <v>15</v>
      </c>
      <c r="N181" s="53" t="s">
        <v>15</v>
      </c>
      <c r="O181" s="53" t="s">
        <v>15</v>
      </c>
    </row>
    <row r="182" spans="1:15" x14ac:dyDescent="0.25">
      <c r="A182" s="52" t="s">
        <v>4428</v>
      </c>
      <c r="B182" s="54" t="str">
        <f t="shared" si="2"/>
        <v>IC,,TI,TPS2041P,DIP8</v>
      </c>
      <c r="C182" s="53" t="s">
        <v>15</v>
      </c>
      <c r="D182" s="53" t="s">
        <v>15</v>
      </c>
      <c r="E182" s="53" t="s">
        <v>15</v>
      </c>
      <c r="F182" s="53" t="s">
        <v>15</v>
      </c>
      <c r="G182" s="53"/>
      <c r="H182" s="53" t="s">
        <v>1145</v>
      </c>
      <c r="I182" s="53" t="s">
        <v>1570</v>
      </c>
      <c r="J182" s="53" t="s">
        <v>423</v>
      </c>
      <c r="K182" s="53" t="s">
        <v>1571</v>
      </c>
      <c r="L182" s="53" t="s">
        <v>15</v>
      </c>
      <c r="M182" s="53" t="s">
        <v>15</v>
      </c>
      <c r="N182" s="53" t="s">
        <v>15</v>
      </c>
      <c r="O182" s="53" t="s">
        <v>15</v>
      </c>
    </row>
    <row r="183" spans="1:15" x14ac:dyDescent="0.25">
      <c r="A183" s="52" t="s">
        <v>4429</v>
      </c>
      <c r="B183" s="54" t="str">
        <f t="shared" si="2"/>
        <v>IC,,NATIONAL,LM2595T-5.0,</v>
      </c>
      <c r="C183" s="53" t="s">
        <v>15</v>
      </c>
      <c r="D183" s="53" t="s">
        <v>15</v>
      </c>
      <c r="E183" s="53" t="s">
        <v>15</v>
      </c>
      <c r="F183" s="53" t="s">
        <v>15</v>
      </c>
      <c r="G183" s="53"/>
      <c r="H183" s="53" t="s">
        <v>1556</v>
      </c>
      <c r="I183" s="53" t="s">
        <v>1572</v>
      </c>
      <c r="J183" s="53" t="s">
        <v>15</v>
      </c>
      <c r="K183" s="53" t="s">
        <v>1573</v>
      </c>
      <c r="L183" s="53" t="s">
        <v>15</v>
      </c>
      <c r="M183" s="53" t="s">
        <v>15</v>
      </c>
      <c r="N183" s="53" t="s">
        <v>15</v>
      </c>
      <c r="O183" s="53" t="s">
        <v>15</v>
      </c>
    </row>
    <row r="184" spans="1:15" x14ac:dyDescent="0.25">
      <c r="A184" s="52" t="s">
        <v>4430</v>
      </c>
      <c r="B184" s="54" t="str">
        <f t="shared" si="2"/>
        <v>IC,,XICOR,X25128P,</v>
      </c>
      <c r="C184" s="53" t="s">
        <v>15</v>
      </c>
      <c r="D184" s="53" t="s">
        <v>15</v>
      </c>
      <c r="E184" s="53" t="s">
        <v>15</v>
      </c>
      <c r="F184" s="53" t="s">
        <v>15</v>
      </c>
      <c r="G184" s="53"/>
      <c r="H184" s="53" t="s">
        <v>1574</v>
      </c>
      <c r="I184" s="53" t="s">
        <v>1575</v>
      </c>
      <c r="J184" s="53" t="s">
        <v>15</v>
      </c>
      <c r="K184" s="53" t="s">
        <v>1576</v>
      </c>
      <c r="L184" s="53" t="s">
        <v>15</v>
      </c>
      <c r="M184" s="53" t="s">
        <v>15</v>
      </c>
      <c r="N184" s="53" t="s">
        <v>15</v>
      </c>
      <c r="O184" s="53" t="s">
        <v>15</v>
      </c>
    </row>
    <row r="185" spans="1:15" x14ac:dyDescent="0.25">
      <c r="A185" s="52" t="s">
        <v>4431</v>
      </c>
      <c r="B185" s="54" t="str">
        <f t="shared" si="2"/>
        <v>IC,,TI,TUSB2077A,</v>
      </c>
      <c r="C185" s="53" t="s">
        <v>15</v>
      </c>
      <c r="D185" s="53" t="s">
        <v>15</v>
      </c>
      <c r="E185" s="53" t="s">
        <v>15</v>
      </c>
      <c r="F185" s="53" t="s">
        <v>15</v>
      </c>
      <c r="G185" s="53"/>
      <c r="H185" s="53" t="s">
        <v>1145</v>
      </c>
      <c r="I185" s="53" t="s">
        <v>1577</v>
      </c>
      <c r="J185" s="53" t="s">
        <v>15</v>
      </c>
      <c r="K185" s="53" t="s">
        <v>1578</v>
      </c>
      <c r="L185" s="53" t="s">
        <v>15</v>
      </c>
      <c r="M185" s="53" t="s">
        <v>15</v>
      </c>
      <c r="N185" s="53" t="s">
        <v>15</v>
      </c>
      <c r="O185" s="53" t="s">
        <v>15</v>
      </c>
    </row>
    <row r="186" spans="1:15" x14ac:dyDescent="0.25">
      <c r="A186" s="52" t="s">
        <v>4432</v>
      </c>
      <c r="B186" s="54" t="str">
        <f t="shared" si="2"/>
        <v>IC,,TI,TPS2044,</v>
      </c>
      <c r="C186" s="53" t="s">
        <v>15</v>
      </c>
      <c r="D186" s="53" t="s">
        <v>15</v>
      </c>
      <c r="E186" s="53" t="s">
        <v>15</v>
      </c>
      <c r="F186" s="53" t="s">
        <v>15</v>
      </c>
      <c r="G186" s="53"/>
      <c r="H186" s="53" t="s">
        <v>1145</v>
      </c>
      <c r="I186" s="53" t="s">
        <v>1579</v>
      </c>
      <c r="J186" s="53" t="s">
        <v>15</v>
      </c>
      <c r="K186" s="53" t="s">
        <v>1580</v>
      </c>
      <c r="L186" s="53" t="s">
        <v>15</v>
      </c>
      <c r="M186" s="53" t="s">
        <v>15</v>
      </c>
      <c r="N186" s="53" t="s">
        <v>15</v>
      </c>
      <c r="O186" s="53" t="s">
        <v>15</v>
      </c>
    </row>
    <row r="187" spans="1:15" x14ac:dyDescent="0.25">
      <c r="A187" s="52" t="s">
        <v>4433</v>
      </c>
      <c r="B187" s="54" t="str">
        <f t="shared" si="2"/>
        <v>IC,,TI,TPS2052,</v>
      </c>
      <c r="C187" s="53" t="s">
        <v>15</v>
      </c>
      <c r="D187" s="53" t="s">
        <v>15</v>
      </c>
      <c r="E187" s="53" t="s">
        <v>15</v>
      </c>
      <c r="F187" s="53" t="s">
        <v>15</v>
      </c>
      <c r="G187" s="53"/>
      <c r="H187" s="53" t="s">
        <v>1145</v>
      </c>
      <c r="I187" s="53" t="s">
        <v>1581</v>
      </c>
      <c r="J187" s="53" t="s">
        <v>15</v>
      </c>
      <c r="K187" s="53" t="s">
        <v>1582</v>
      </c>
      <c r="L187" s="53" t="s">
        <v>15</v>
      </c>
      <c r="M187" s="53" t="s">
        <v>15</v>
      </c>
      <c r="N187" s="53" t="s">
        <v>15</v>
      </c>
      <c r="O187" s="53" t="s">
        <v>15</v>
      </c>
    </row>
    <row r="188" spans="1:15" x14ac:dyDescent="0.25">
      <c r="A188" s="52" t="s">
        <v>4434</v>
      </c>
      <c r="B188" s="54" t="str">
        <f t="shared" si="2"/>
        <v>IC,REGULATOR,LINEAR,MISC,7805,TO220</v>
      </c>
      <c r="C188" s="53" t="s">
        <v>15</v>
      </c>
      <c r="D188" s="53" t="s">
        <v>15</v>
      </c>
      <c r="E188" s="53" t="s">
        <v>15</v>
      </c>
      <c r="F188" s="53" t="s">
        <v>15</v>
      </c>
      <c r="G188" s="53" t="s">
        <v>4964</v>
      </c>
      <c r="H188" s="53" t="s">
        <v>466</v>
      </c>
      <c r="I188" s="53" t="s">
        <v>1583</v>
      </c>
      <c r="J188" s="53" t="s">
        <v>780</v>
      </c>
      <c r="K188" s="53" t="s">
        <v>1584</v>
      </c>
      <c r="L188" s="53" t="s">
        <v>15</v>
      </c>
      <c r="M188" s="53" t="s">
        <v>15</v>
      </c>
      <c r="N188" s="53" t="s">
        <v>1585</v>
      </c>
      <c r="O188" s="53" t="s">
        <v>15</v>
      </c>
    </row>
    <row r="189" spans="1:15" x14ac:dyDescent="0.25">
      <c r="A189" s="52" t="s">
        <v>4435</v>
      </c>
      <c r="B189" s="54" t="str">
        <f t="shared" si="2"/>
        <v>IC,REGULATOR,LINEAR,MISC,7812,TO220</v>
      </c>
      <c r="C189" s="53" t="s">
        <v>15</v>
      </c>
      <c r="D189" s="53" t="s">
        <v>15</v>
      </c>
      <c r="E189" s="53" t="s">
        <v>15</v>
      </c>
      <c r="F189" s="53" t="s">
        <v>15</v>
      </c>
      <c r="G189" s="53" t="s">
        <v>4964</v>
      </c>
      <c r="H189" s="53" t="s">
        <v>466</v>
      </c>
      <c r="I189" s="53" t="s">
        <v>1586</v>
      </c>
      <c r="J189" s="53" t="s">
        <v>780</v>
      </c>
      <c r="K189" s="53" t="s">
        <v>1587</v>
      </c>
      <c r="L189" s="53" t="s">
        <v>15</v>
      </c>
      <c r="M189" s="53" t="s">
        <v>15</v>
      </c>
      <c r="N189" s="53" t="s">
        <v>1585</v>
      </c>
      <c r="O189" s="53" t="s">
        <v>15</v>
      </c>
    </row>
    <row r="190" spans="1:15" x14ac:dyDescent="0.25">
      <c r="A190" s="52" t="s">
        <v>4436</v>
      </c>
      <c r="B190" s="54" t="str">
        <f t="shared" si="2"/>
        <v>IC,REGULATOR,LINEAR,MISC,7815,TO220</v>
      </c>
      <c r="C190" s="53" t="s">
        <v>15</v>
      </c>
      <c r="D190" s="53" t="s">
        <v>15</v>
      </c>
      <c r="E190" s="53" t="s">
        <v>15</v>
      </c>
      <c r="F190" s="53" t="s">
        <v>15</v>
      </c>
      <c r="G190" s="53" t="s">
        <v>4964</v>
      </c>
      <c r="H190" s="53" t="s">
        <v>466</v>
      </c>
      <c r="I190" s="53" t="s">
        <v>1588</v>
      </c>
      <c r="J190" s="53" t="s">
        <v>780</v>
      </c>
      <c r="K190" s="53" t="s">
        <v>1589</v>
      </c>
      <c r="L190" s="53" t="s">
        <v>15</v>
      </c>
      <c r="M190" s="53" t="s">
        <v>15</v>
      </c>
      <c r="N190" s="53" t="s">
        <v>1585</v>
      </c>
      <c r="O190" s="53" t="s">
        <v>15</v>
      </c>
    </row>
    <row r="191" spans="1:15" x14ac:dyDescent="0.25">
      <c r="A191" s="52" t="s">
        <v>4437</v>
      </c>
      <c r="B191" s="54" t="str">
        <f t="shared" si="2"/>
        <v>IC,REGULATOR,LINEAR,MISC,7818,TO220</v>
      </c>
      <c r="C191" s="53" t="s">
        <v>15</v>
      </c>
      <c r="D191" s="53" t="s">
        <v>15</v>
      </c>
      <c r="E191" s="53" t="s">
        <v>15</v>
      </c>
      <c r="F191" s="53" t="s">
        <v>15</v>
      </c>
      <c r="G191" s="53" t="s">
        <v>4964</v>
      </c>
      <c r="H191" s="53" t="s">
        <v>466</v>
      </c>
      <c r="I191" s="53" t="s">
        <v>1590</v>
      </c>
      <c r="J191" s="53" t="s">
        <v>780</v>
      </c>
      <c r="K191" s="53" t="s">
        <v>1591</v>
      </c>
      <c r="L191" s="53" t="s">
        <v>15</v>
      </c>
      <c r="M191" s="53" t="s">
        <v>15</v>
      </c>
      <c r="N191" s="53" t="s">
        <v>1585</v>
      </c>
      <c r="O191" s="53" t="s">
        <v>15</v>
      </c>
    </row>
    <row r="192" spans="1:15" x14ac:dyDescent="0.25">
      <c r="A192" s="52" t="s">
        <v>4438</v>
      </c>
      <c r="B192" s="54" t="str">
        <f t="shared" si="2"/>
        <v>IC,REGULATOR,LINEAR,MISC,7824,TO220</v>
      </c>
      <c r="C192" s="53" t="s">
        <v>15</v>
      </c>
      <c r="D192" s="53" t="s">
        <v>15</v>
      </c>
      <c r="E192" s="53" t="s">
        <v>15</v>
      </c>
      <c r="F192" s="53" t="s">
        <v>15</v>
      </c>
      <c r="G192" s="53" t="s">
        <v>4964</v>
      </c>
      <c r="H192" s="53" t="s">
        <v>466</v>
      </c>
      <c r="I192" s="53" t="s">
        <v>1592</v>
      </c>
      <c r="J192" s="53" t="s">
        <v>780</v>
      </c>
      <c r="K192" s="53" t="s">
        <v>1593</v>
      </c>
      <c r="L192" s="53" t="s">
        <v>15</v>
      </c>
      <c r="M192" s="53" t="s">
        <v>15</v>
      </c>
      <c r="N192" s="53" t="s">
        <v>1585</v>
      </c>
      <c r="O192" s="53" t="s">
        <v>15</v>
      </c>
    </row>
    <row r="193" spans="1:15" x14ac:dyDescent="0.25">
      <c r="A193" s="52" t="s">
        <v>4439</v>
      </c>
      <c r="B193" s="54" t="str">
        <f t="shared" si="2"/>
        <v>IC,,LINEAR,LT1083,TO237</v>
      </c>
      <c r="C193" s="53" t="s">
        <v>15</v>
      </c>
      <c r="D193" s="53" t="s">
        <v>15</v>
      </c>
      <c r="E193" s="53" t="s">
        <v>15</v>
      </c>
      <c r="F193" s="53" t="s">
        <v>15</v>
      </c>
      <c r="G193" s="53"/>
      <c r="H193" s="53" t="s">
        <v>1594</v>
      </c>
      <c r="I193" s="53" t="s">
        <v>1595</v>
      </c>
      <c r="J193" s="53" t="s">
        <v>1596</v>
      </c>
      <c r="K193" s="53" t="s">
        <v>1597</v>
      </c>
      <c r="L193" s="53" t="s">
        <v>15</v>
      </c>
      <c r="M193" s="53" t="s">
        <v>15</v>
      </c>
      <c r="N193" s="53" t="s">
        <v>15</v>
      </c>
      <c r="O193" s="53" t="s">
        <v>15</v>
      </c>
    </row>
    <row r="194" spans="1:15" x14ac:dyDescent="0.25">
      <c r="A194" s="52" t="s">
        <v>4440</v>
      </c>
      <c r="B194" s="54" t="str">
        <f t="shared" si="2"/>
        <v>IC,REGULATOR,LINEAR,MISC,7905,TO220</v>
      </c>
      <c r="C194" s="53" t="s">
        <v>15</v>
      </c>
      <c r="D194" s="53" t="s">
        <v>15</v>
      </c>
      <c r="E194" s="53" t="s">
        <v>15</v>
      </c>
      <c r="F194" s="53" t="s">
        <v>15</v>
      </c>
      <c r="G194" s="53" t="s">
        <v>4964</v>
      </c>
      <c r="H194" s="53" t="s">
        <v>466</v>
      </c>
      <c r="I194" s="53" t="s">
        <v>1598</v>
      </c>
      <c r="J194" s="53" t="s">
        <v>780</v>
      </c>
      <c r="K194" s="53" t="s">
        <v>1599</v>
      </c>
      <c r="L194" s="53" t="s">
        <v>15</v>
      </c>
      <c r="M194" s="53" t="s">
        <v>15</v>
      </c>
      <c r="N194" s="53" t="s">
        <v>15</v>
      </c>
      <c r="O194" s="53" t="s">
        <v>15</v>
      </c>
    </row>
    <row r="195" spans="1:15" x14ac:dyDescent="0.25">
      <c r="A195" s="52" t="s">
        <v>4441</v>
      </c>
      <c r="B195" s="54" t="str">
        <f t="shared" ref="B195:B258" si="3">_xlfn.CONCAT("IC,",G195,",",H195,",",I195,",",J195)</f>
        <v>IC,REGULATOR,LINEAR,MISC,7912,TO220</v>
      </c>
      <c r="C195" s="53" t="s">
        <v>15</v>
      </c>
      <c r="D195" s="53" t="s">
        <v>15</v>
      </c>
      <c r="E195" s="53" t="s">
        <v>15</v>
      </c>
      <c r="F195" s="53" t="s">
        <v>15</v>
      </c>
      <c r="G195" s="53" t="s">
        <v>4964</v>
      </c>
      <c r="H195" s="53" t="s">
        <v>466</v>
      </c>
      <c r="I195" s="53" t="s">
        <v>1600</v>
      </c>
      <c r="J195" s="53" t="s">
        <v>780</v>
      </c>
      <c r="K195" s="53" t="s">
        <v>1601</v>
      </c>
      <c r="L195" s="53" t="s">
        <v>15</v>
      </c>
      <c r="M195" s="53" t="s">
        <v>15</v>
      </c>
      <c r="N195" s="53" t="s">
        <v>15</v>
      </c>
      <c r="O195" s="53" t="s">
        <v>15</v>
      </c>
    </row>
    <row r="196" spans="1:15" x14ac:dyDescent="0.25">
      <c r="A196" s="52" t="s">
        <v>4442</v>
      </c>
      <c r="B196" s="54" t="str">
        <f t="shared" si="3"/>
        <v>IC,REGULATOR,LINEAR,MISC,7915,TO220</v>
      </c>
      <c r="C196" s="53" t="s">
        <v>15</v>
      </c>
      <c r="D196" s="53" t="s">
        <v>15</v>
      </c>
      <c r="E196" s="53" t="s">
        <v>15</v>
      </c>
      <c r="F196" s="53" t="s">
        <v>15</v>
      </c>
      <c r="G196" s="53" t="s">
        <v>4964</v>
      </c>
      <c r="H196" s="53" t="s">
        <v>466</v>
      </c>
      <c r="I196" s="53" t="s">
        <v>1602</v>
      </c>
      <c r="J196" s="53" t="s">
        <v>780</v>
      </c>
      <c r="K196" s="53" t="s">
        <v>1603</v>
      </c>
      <c r="L196" s="53" t="s">
        <v>15</v>
      </c>
      <c r="M196" s="53" t="s">
        <v>15</v>
      </c>
      <c r="N196" s="53" t="s">
        <v>15</v>
      </c>
      <c r="O196" s="53" t="s">
        <v>15</v>
      </c>
    </row>
    <row r="197" spans="1:15" x14ac:dyDescent="0.25">
      <c r="A197" s="52" t="s">
        <v>4443</v>
      </c>
      <c r="B197" s="54" t="str">
        <f t="shared" si="3"/>
        <v>IC,REGULATOR,LINEAR,NATIONAL,LM317,TO220</v>
      </c>
      <c r="C197" s="53" t="s">
        <v>15</v>
      </c>
      <c r="D197" s="53" t="s">
        <v>15</v>
      </c>
      <c r="E197" s="53" t="s">
        <v>15</v>
      </c>
      <c r="F197" s="53" t="s">
        <v>15</v>
      </c>
      <c r="G197" s="53" t="s">
        <v>4964</v>
      </c>
      <c r="H197" s="53" t="s">
        <v>1556</v>
      </c>
      <c r="I197" s="53" t="s">
        <v>1604</v>
      </c>
      <c r="J197" s="53" t="s">
        <v>780</v>
      </c>
      <c r="K197" s="53" t="s">
        <v>1605</v>
      </c>
      <c r="L197" s="53" t="s">
        <v>15</v>
      </c>
      <c r="M197" s="53" t="s">
        <v>15</v>
      </c>
      <c r="N197" s="53" t="s">
        <v>15</v>
      </c>
      <c r="O197" s="53" t="s">
        <v>15</v>
      </c>
    </row>
    <row r="198" spans="1:15" x14ac:dyDescent="0.25">
      <c r="A198" s="52" t="s">
        <v>4444</v>
      </c>
      <c r="B198" s="54" t="str">
        <f t="shared" si="3"/>
        <v>IC,REGULATOR,LINEAR,NATIONAL,LM337,TO220</v>
      </c>
      <c r="C198" s="53" t="s">
        <v>15</v>
      </c>
      <c r="D198" s="53" t="s">
        <v>15</v>
      </c>
      <c r="E198" s="53" t="s">
        <v>15</v>
      </c>
      <c r="F198" s="53" t="s">
        <v>15</v>
      </c>
      <c r="G198" s="53" t="s">
        <v>4964</v>
      </c>
      <c r="H198" s="53" t="s">
        <v>1556</v>
      </c>
      <c r="I198" s="53" t="s">
        <v>1606</v>
      </c>
      <c r="J198" s="53" t="s">
        <v>780</v>
      </c>
      <c r="K198" s="53" t="s">
        <v>1607</v>
      </c>
      <c r="L198" s="53" t="s">
        <v>15</v>
      </c>
      <c r="M198" s="53" t="s">
        <v>15</v>
      </c>
      <c r="N198" s="53" t="s">
        <v>15</v>
      </c>
      <c r="O198" s="53" t="s">
        <v>15</v>
      </c>
    </row>
    <row r="199" spans="1:15" x14ac:dyDescent="0.25">
      <c r="A199" s="52" t="s">
        <v>4445</v>
      </c>
      <c r="B199" s="54" t="str">
        <f t="shared" si="3"/>
        <v>IC,,NXP,PCF8574,DIP16</v>
      </c>
      <c r="C199" s="53" t="s">
        <v>15</v>
      </c>
      <c r="D199" s="53" t="s">
        <v>15</v>
      </c>
      <c r="E199" s="53" t="s">
        <v>15</v>
      </c>
      <c r="F199" s="53" t="s">
        <v>15</v>
      </c>
      <c r="G199" s="53"/>
      <c r="H199" s="53" t="s">
        <v>699</v>
      </c>
      <c r="I199" s="53" t="s">
        <v>1608</v>
      </c>
      <c r="J199" s="53" t="s">
        <v>432</v>
      </c>
      <c r="K199" s="53" t="s">
        <v>1609</v>
      </c>
      <c r="L199" s="53" t="s">
        <v>15</v>
      </c>
      <c r="M199" s="53" t="s">
        <v>15</v>
      </c>
      <c r="N199" s="53" t="s">
        <v>15</v>
      </c>
      <c r="O199" s="53" t="s">
        <v>15</v>
      </c>
    </row>
    <row r="200" spans="1:15" x14ac:dyDescent="0.25">
      <c r="A200" s="52" t="s">
        <v>4446</v>
      </c>
      <c r="B200" s="54" t="str">
        <f t="shared" si="3"/>
        <v>IC,,NXP,PCF8591,DIP16</v>
      </c>
      <c r="C200" s="53" t="s">
        <v>15</v>
      </c>
      <c r="D200" s="53" t="s">
        <v>15</v>
      </c>
      <c r="E200" s="53" t="s">
        <v>15</v>
      </c>
      <c r="F200" s="53" t="s">
        <v>15</v>
      </c>
      <c r="G200" s="53"/>
      <c r="H200" s="53" t="s">
        <v>699</v>
      </c>
      <c r="I200" s="53" t="s">
        <v>1610</v>
      </c>
      <c r="J200" s="53" t="s">
        <v>432</v>
      </c>
      <c r="K200" s="53" t="s">
        <v>1611</v>
      </c>
      <c r="L200" s="53" t="s">
        <v>15</v>
      </c>
      <c r="M200" s="53" t="s">
        <v>15</v>
      </c>
      <c r="N200" s="53" t="s">
        <v>15</v>
      </c>
      <c r="O200" s="53" t="s">
        <v>15</v>
      </c>
    </row>
    <row r="201" spans="1:15" x14ac:dyDescent="0.25">
      <c r="A201" s="52" t="s">
        <v>4447</v>
      </c>
      <c r="B201" s="54" t="str">
        <f t="shared" si="3"/>
        <v>IC,,ANALOG DEVICES,AD558,</v>
      </c>
      <c r="C201" s="53" t="s">
        <v>15</v>
      </c>
      <c r="D201" s="53" t="s">
        <v>15</v>
      </c>
      <c r="E201" s="53" t="s">
        <v>15</v>
      </c>
      <c r="F201" s="53" t="s">
        <v>15</v>
      </c>
      <c r="G201" s="53"/>
      <c r="H201" s="53" t="s">
        <v>1240</v>
      </c>
      <c r="I201" s="53" t="s">
        <v>1612</v>
      </c>
      <c r="J201" s="53" t="s">
        <v>15</v>
      </c>
      <c r="K201" s="53" t="s">
        <v>1613</v>
      </c>
      <c r="L201" s="53" t="s">
        <v>15</v>
      </c>
      <c r="M201" s="53" t="s">
        <v>15</v>
      </c>
      <c r="N201" s="53" t="s">
        <v>15</v>
      </c>
      <c r="O201" s="53" t="s">
        <v>15</v>
      </c>
    </row>
    <row r="202" spans="1:15" x14ac:dyDescent="0.25">
      <c r="A202" s="52" t="s">
        <v>4448</v>
      </c>
      <c r="B202" s="54" t="str">
        <f t="shared" si="3"/>
        <v>IC,,ANALOG DEVICES,ADM693,</v>
      </c>
      <c r="C202" s="53" t="s">
        <v>15</v>
      </c>
      <c r="D202" s="53" t="s">
        <v>15</v>
      </c>
      <c r="E202" s="53" t="s">
        <v>15</v>
      </c>
      <c r="F202" s="53" t="s">
        <v>15</v>
      </c>
      <c r="G202" s="53"/>
      <c r="H202" s="53" t="s">
        <v>1240</v>
      </c>
      <c r="I202" s="53" t="s">
        <v>1614</v>
      </c>
      <c r="J202" s="53" t="s">
        <v>15</v>
      </c>
      <c r="K202" s="53" t="s">
        <v>1615</v>
      </c>
      <c r="L202" s="53" t="s">
        <v>15</v>
      </c>
      <c r="M202" s="53" t="s">
        <v>15</v>
      </c>
      <c r="N202" s="53" t="s">
        <v>15</v>
      </c>
      <c r="O202" s="53" t="s">
        <v>15</v>
      </c>
    </row>
    <row r="203" spans="1:15" x14ac:dyDescent="0.25">
      <c r="A203" s="52" t="s">
        <v>4449</v>
      </c>
      <c r="B203" s="54" t="str">
        <f t="shared" si="3"/>
        <v>IC,,ST,L6202,</v>
      </c>
      <c r="C203" s="53" t="s">
        <v>15</v>
      </c>
      <c r="D203" s="53" t="s">
        <v>15</v>
      </c>
      <c r="E203" s="53" t="s">
        <v>15</v>
      </c>
      <c r="F203" s="53" t="s">
        <v>15</v>
      </c>
      <c r="G203" s="53"/>
      <c r="H203" s="53" t="s">
        <v>807</v>
      </c>
      <c r="I203" s="53" t="s">
        <v>1616</v>
      </c>
      <c r="J203" s="53" t="s">
        <v>15</v>
      </c>
      <c r="K203" s="53" t="s">
        <v>1617</v>
      </c>
      <c r="L203" s="53" t="s">
        <v>15</v>
      </c>
      <c r="M203" s="53" t="s">
        <v>15</v>
      </c>
      <c r="N203" s="53" t="s">
        <v>15</v>
      </c>
      <c r="O203" s="53" t="s">
        <v>15</v>
      </c>
    </row>
    <row r="204" spans="1:15" x14ac:dyDescent="0.25">
      <c r="A204" s="52" t="s">
        <v>4450</v>
      </c>
      <c r="B204" s="54" t="str">
        <f t="shared" si="3"/>
        <v>IC,,,APC1441,</v>
      </c>
      <c r="C204" s="53" t="s">
        <v>15</v>
      </c>
      <c r="D204" s="53" t="s">
        <v>15</v>
      </c>
      <c r="E204" s="53" t="s">
        <v>15</v>
      </c>
      <c r="F204" s="53" t="s">
        <v>15</v>
      </c>
      <c r="G204" s="53"/>
      <c r="H204" s="53" t="s">
        <v>15</v>
      </c>
      <c r="I204" s="53" t="s">
        <v>1618</v>
      </c>
      <c r="J204" s="53" t="s">
        <v>15</v>
      </c>
      <c r="K204" s="53" t="s">
        <v>1619</v>
      </c>
      <c r="L204" s="53" t="s">
        <v>15</v>
      </c>
      <c r="M204" s="53" t="s">
        <v>15</v>
      </c>
      <c r="N204" s="53" t="s">
        <v>15</v>
      </c>
      <c r="O204" s="53" t="s">
        <v>15</v>
      </c>
    </row>
    <row r="205" spans="1:15" x14ac:dyDescent="0.25">
      <c r="A205" s="52" t="s">
        <v>4451</v>
      </c>
      <c r="B205" s="54" t="str">
        <f t="shared" si="3"/>
        <v>IC,,NATIONAL,LM2678-3.3,</v>
      </c>
      <c r="C205" s="53" t="s">
        <v>15</v>
      </c>
      <c r="D205" s="53" t="s">
        <v>15</v>
      </c>
      <c r="E205" s="53" t="s">
        <v>15</v>
      </c>
      <c r="F205" s="53" t="s">
        <v>15</v>
      </c>
      <c r="G205" s="53"/>
      <c r="H205" s="53" t="s">
        <v>1556</v>
      </c>
      <c r="I205" s="53" t="s">
        <v>1620</v>
      </c>
      <c r="J205" s="53" t="s">
        <v>15</v>
      </c>
      <c r="K205" s="53" t="s">
        <v>1621</v>
      </c>
      <c r="L205" s="53" t="s">
        <v>15</v>
      </c>
      <c r="M205" s="53" t="s">
        <v>15</v>
      </c>
      <c r="N205" s="53" t="s">
        <v>15</v>
      </c>
      <c r="O205" s="53" t="s">
        <v>15</v>
      </c>
    </row>
    <row r="206" spans="1:15" x14ac:dyDescent="0.25">
      <c r="A206" s="52" t="s">
        <v>4452</v>
      </c>
      <c r="B206" s="54" t="str">
        <f t="shared" si="3"/>
        <v>IC,,NATIONAL,LM318,</v>
      </c>
      <c r="C206" s="53" t="s">
        <v>15</v>
      </c>
      <c r="D206" s="53" t="s">
        <v>15</v>
      </c>
      <c r="E206" s="53" t="s">
        <v>15</v>
      </c>
      <c r="F206" s="53" t="s">
        <v>15</v>
      </c>
      <c r="G206" s="53"/>
      <c r="H206" s="53" t="s">
        <v>1556</v>
      </c>
      <c r="I206" s="53" t="s">
        <v>1622</v>
      </c>
      <c r="J206" s="53" t="s">
        <v>15</v>
      </c>
      <c r="K206" s="53" t="s">
        <v>1623</v>
      </c>
      <c r="L206" s="53" t="s">
        <v>15</v>
      </c>
      <c r="M206" s="53" t="s">
        <v>15</v>
      </c>
      <c r="N206" s="53" t="s">
        <v>15</v>
      </c>
      <c r="O206" s="53" t="s">
        <v>15</v>
      </c>
    </row>
    <row r="207" spans="1:15" x14ac:dyDescent="0.25">
      <c r="A207" s="52" t="s">
        <v>4453</v>
      </c>
      <c r="B207" s="54" t="str">
        <f t="shared" si="3"/>
        <v>IC,,NXP,PCF8582,</v>
      </c>
      <c r="C207" s="53" t="s">
        <v>15</v>
      </c>
      <c r="D207" s="53" t="s">
        <v>15</v>
      </c>
      <c r="E207" s="53" t="s">
        <v>15</v>
      </c>
      <c r="F207" s="53" t="s">
        <v>15</v>
      </c>
      <c r="G207" s="53"/>
      <c r="H207" s="53" t="s">
        <v>699</v>
      </c>
      <c r="I207" s="53" t="s">
        <v>1624</v>
      </c>
      <c r="J207" s="53" t="s">
        <v>15</v>
      </c>
      <c r="K207" s="53" t="s">
        <v>1625</v>
      </c>
      <c r="L207" s="53" t="s">
        <v>15</v>
      </c>
      <c r="M207" s="53" t="s">
        <v>15</v>
      </c>
      <c r="N207" s="53" t="s">
        <v>15</v>
      </c>
      <c r="O207" s="53" t="s">
        <v>15</v>
      </c>
    </row>
    <row r="208" spans="1:15" x14ac:dyDescent="0.25">
      <c r="A208" s="52" t="s">
        <v>4454</v>
      </c>
      <c r="B208" s="54" t="str">
        <f t="shared" si="3"/>
        <v>IC,,LINEAR TECH,LT1074,</v>
      </c>
      <c r="C208" s="53" t="s">
        <v>15</v>
      </c>
      <c r="D208" s="53" t="s">
        <v>15</v>
      </c>
      <c r="E208" s="53" t="s">
        <v>15</v>
      </c>
      <c r="F208" s="53" t="s">
        <v>15</v>
      </c>
      <c r="G208" s="53"/>
      <c r="H208" s="53" t="s">
        <v>1626</v>
      </c>
      <c r="I208" s="53" t="s">
        <v>1627</v>
      </c>
      <c r="J208" s="53" t="s">
        <v>15</v>
      </c>
      <c r="K208" s="53" t="s">
        <v>1628</v>
      </c>
      <c r="L208" s="53" t="s">
        <v>15</v>
      </c>
      <c r="M208" s="53" t="s">
        <v>15</v>
      </c>
      <c r="N208" s="53" t="s">
        <v>15</v>
      </c>
      <c r="O208" s="53" t="s">
        <v>15</v>
      </c>
    </row>
    <row r="209" spans="1:15" x14ac:dyDescent="0.25">
      <c r="A209" s="52" t="s">
        <v>4455</v>
      </c>
      <c r="B209" s="54" t="str">
        <f t="shared" si="3"/>
        <v>IC,,NTAIONAL,LMD18200,</v>
      </c>
      <c r="C209" s="53" t="s">
        <v>15</v>
      </c>
      <c r="D209" s="53" t="s">
        <v>15</v>
      </c>
      <c r="E209" s="53" t="s">
        <v>15</v>
      </c>
      <c r="F209" s="53" t="s">
        <v>15</v>
      </c>
      <c r="G209" s="53"/>
      <c r="H209" s="53" t="s">
        <v>1629</v>
      </c>
      <c r="I209" s="53" t="s">
        <v>1630</v>
      </c>
      <c r="J209" s="53" t="s">
        <v>15</v>
      </c>
      <c r="K209" s="53" t="s">
        <v>1631</v>
      </c>
      <c r="L209" s="53" t="s">
        <v>15</v>
      </c>
      <c r="M209" s="53" t="s">
        <v>15</v>
      </c>
      <c r="N209" s="53" t="s">
        <v>15</v>
      </c>
      <c r="O209" s="53" t="s">
        <v>15</v>
      </c>
    </row>
    <row r="210" spans="1:15" x14ac:dyDescent="0.25">
      <c r="A210" s="52" t="s">
        <v>4456</v>
      </c>
      <c r="B210" s="54" t="str">
        <f t="shared" si="3"/>
        <v>IC,,NATIONAL,LMD18201,</v>
      </c>
      <c r="C210" s="53" t="s">
        <v>15</v>
      </c>
      <c r="D210" s="53" t="s">
        <v>15</v>
      </c>
      <c r="E210" s="53" t="s">
        <v>15</v>
      </c>
      <c r="F210" s="53" t="s">
        <v>15</v>
      </c>
      <c r="G210" s="53"/>
      <c r="H210" s="53" t="s">
        <v>1556</v>
      </c>
      <c r="I210" s="53" t="s">
        <v>1632</v>
      </c>
      <c r="J210" s="53" t="s">
        <v>15</v>
      </c>
      <c r="K210" s="53" t="s">
        <v>1633</v>
      </c>
      <c r="L210" s="53" t="s">
        <v>15</v>
      </c>
      <c r="M210" s="53" t="s">
        <v>15</v>
      </c>
      <c r="N210" s="53" t="s">
        <v>15</v>
      </c>
      <c r="O210" s="53" t="s">
        <v>15</v>
      </c>
    </row>
    <row r="211" spans="1:15" x14ac:dyDescent="0.25">
      <c r="A211" s="52" t="s">
        <v>4457</v>
      </c>
      <c r="B211" s="54" t="str">
        <f t="shared" si="3"/>
        <v>IC,,NATIONAL,LM675,</v>
      </c>
      <c r="C211" s="53" t="s">
        <v>15</v>
      </c>
      <c r="D211" s="53" t="s">
        <v>15</v>
      </c>
      <c r="E211" s="53" t="s">
        <v>15</v>
      </c>
      <c r="F211" s="53" t="s">
        <v>15</v>
      </c>
      <c r="G211" s="53"/>
      <c r="H211" s="53" t="s">
        <v>1556</v>
      </c>
      <c r="I211" s="53" t="s">
        <v>1634</v>
      </c>
      <c r="J211" s="53" t="s">
        <v>15</v>
      </c>
      <c r="K211" s="53" t="s">
        <v>1635</v>
      </c>
      <c r="L211" s="53" t="s">
        <v>15</v>
      </c>
      <c r="M211" s="53" t="s">
        <v>15</v>
      </c>
      <c r="N211" s="53" t="s">
        <v>15</v>
      </c>
      <c r="O211" s="53" t="s">
        <v>15</v>
      </c>
    </row>
    <row r="212" spans="1:15" x14ac:dyDescent="0.25">
      <c r="A212" s="52" t="s">
        <v>4458</v>
      </c>
      <c r="B212" s="54" t="str">
        <f t="shared" si="3"/>
        <v>IC,,ELANTEC,EL2008,</v>
      </c>
      <c r="C212" s="53" t="s">
        <v>15</v>
      </c>
      <c r="D212" s="53" t="s">
        <v>15</v>
      </c>
      <c r="E212" s="53" t="s">
        <v>15</v>
      </c>
      <c r="F212" s="53" t="s">
        <v>15</v>
      </c>
      <c r="G212" s="53"/>
      <c r="H212" s="53" t="s">
        <v>1636</v>
      </c>
      <c r="I212" s="53" t="s">
        <v>1637</v>
      </c>
      <c r="J212" s="53" t="s">
        <v>15</v>
      </c>
      <c r="K212" s="53" t="s">
        <v>1638</v>
      </c>
      <c r="L212" s="53" t="s">
        <v>15</v>
      </c>
      <c r="M212" s="53" t="s">
        <v>15</v>
      </c>
      <c r="N212" s="53" t="s">
        <v>15</v>
      </c>
      <c r="O212" s="53" t="s">
        <v>15</v>
      </c>
    </row>
    <row r="213" spans="1:15" x14ac:dyDescent="0.25">
      <c r="A213" s="52" t="s">
        <v>4459</v>
      </c>
      <c r="B213" s="54" t="str">
        <f t="shared" si="3"/>
        <v>IC,OPAMP,QUAD,TI,TL074,DIP14</v>
      </c>
      <c r="C213" s="53" t="s">
        <v>15</v>
      </c>
      <c r="D213" s="53" t="s">
        <v>15</v>
      </c>
      <c r="E213" s="53" t="s">
        <v>15</v>
      </c>
      <c r="F213" s="53" t="s">
        <v>15</v>
      </c>
      <c r="G213" s="53" t="s">
        <v>4020</v>
      </c>
      <c r="H213" s="53" t="s">
        <v>1145</v>
      </c>
      <c r="I213" s="53" t="s">
        <v>1639</v>
      </c>
      <c r="J213" s="53" t="s">
        <v>428</v>
      </c>
      <c r="K213" s="53" t="s">
        <v>1640</v>
      </c>
      <c r="L213" s="53" t="s">
        <v>15</v>
      </c>
      <c r="M213" s="53" t="s">
        <v>15</v>
      </c>
      <c r="N213" s="53" t="s">
        <v>15</v>
      </c>
      <c r="O213" s="53" t="s">
        <v>15</v>
      </c>
    </row>
    <row r="214" spans="1:15" x14ac:dyDescent="0.25">
      <c r="A214" s="52" t="s">
        <v>4460</v>
      </c>
      <c r="B214" s="54" t="str">
        <f t="shared" si="3"/>
        <v>IC,OPAMP,QUAD,TI,TL084,DIP14</v>
      </c>
      <c r="C214" s="53" t="s">
        <v>15</v>
      </c>
      <c r="D214" s="53" t="s">
        <v>15</v>
      </c>
      <c r="E214" s="53" t="s">
        <v>15</v>
      </c>
      <c r="F214" s="53" t="s">
        <v>15</v>
      </c>
      <c r="G214" s="53" t="s">
        <v>4020</v>
      </c>
      <c r="H214" s="53" t="s">
        <v>1145</v>
      </c>
      <c r="I214" s="53" t="s">
        <v>1641</v>
      </c>
      <c r="J214" s="53" t="s">
        <v>428</v>
      </c>
      <c r="K214" s="53" t="s">
        <v>1642</v>
      </c>
      <c r="L214" s="53" t="s">
        <v>15</v>
      </c>
      <c r="M214" s="53" t="s">
        <v>15</v>
      </c>
      <c r="N214" s="53" t="s">
        <v>15</v>
      </c>
      <c r="O214" s="53" t="s">
        <v>15</v>
      </c>
    </row>
    <row r="215" spans="1:15" x14ac:dyDescent="0.25">
      <c r="A215" s="52" t="s">
        <v>4461</v>
      </c>
      <c r="B215" s="54" t="str">
        <f t="shared" si="3"/>
        <v>IC,,NXP,24C02,DIP8</v>
      </c>
      <c r="C215" s="53" t="s">
        <v>15</v>
      </c>
      <c r="D215" s="53" t="s">
        <v>15</v>
      </c>
      <c r="E215" s="53" t="s">
        <v>423</v>
      </c>
      <c r="F215" s="53" t="s">
        <v>15</v>
      </c>
      <c r="G215" s="53"/>
      <c r="H215" s="53" t="s">
        <v>699</v>
      </c>
      <c r="I215" s="53" t="s">
        <v>1643</v>
      </c>
      <c r="J215" s="53" t="s">
        <v>423</v>
      </c>
      <c r="K215" s="53" t="s">
        <v>1644</v>
      </c>
      <c r="L215" s="53" t="s">
        <v>15</v>
      </c>
      <c r="M215" s="53" t="s">
        <v>15</v>
      </c>
      <c r="N215" s="53" t="s">
        <v>15</v>
      </c>
      <c r="O215" s="53" t="s">
        <v>15</v>
      </c>
    </row>
    <row r="216" spans="1:15" x14ac:dyDescent="0.25">
      <c r="A216" s="52" t="s">
        <v>4462</v>
      </c>
      <c r="B216" s="54" t="str">
        <f t="shared" si="3"/>
        <v>IC,,NXP,24C04,DIP8</v>
      </c>
      <c r="C216" s="53" t="s">
        <v>15</v>
      </c>
      <c r="D216" s="53" t="s">
        <v>15</v>
      </c>
      <c r="E216" s="53" t="s">
        <v>423</v>
      </c>
      <c r="F216" s="53" t="s">
        <v>15</v>
      </c>
      <c r="G216" s="53"/>
      <c r="H216" s="53" t="s">
        <v>699</v>
      </c>
      <c r="I216" s="53" t="s">
        <v>1645</v>
      </c>
      <c r="J216" s="53" t="s">
        <v>423</v>
      </c>
      <c r="K216" s="53" t="s">
        <v>1646</v>
      </c>
      <c r="L216" s="53" t="s">
        <v>15</v>
      </c>
      <c r="M216" s="53" t="s">
        <v>15</v>
      </c>
      <c r="N216" s="53" t="s">
        <v>15</v>
      </c>
      <c r="O216" s="53" t="s">
        <v>15</v>
      </c>
    </row>
    <row r="217" spans="1:15" x14ac:dyDescent="0.25">
      <c r="A217" s="52" t="s">
        <v>4463</v>
      </c>
      <c r="B217" s="54" t="str">
        <f t="shared" si="3"/>
        <v>IC,,,25128,DIP8</v>
      </c>
      <c r="C217" s="53" t="s">
        <v>15</v>
      </c>
      <c r="D217" s="53" t="s">
        <v>15</v>
      </c>
      <c r="E217" s="53" t="s">
        <v>423</v>
      </c>
      <c r="F217" s="53" t="s">
        <v>15</v>
      </c>
      <c r="G217" s="53"/>
      <c r="H217" s="53" t="s">
        <v>15</v>
      </c>
      <c r="I217" s="53" t="s">
        <v>1647</v>
      </c>
      <c r="J217" s="53" t="s">
        <v>423</v>
      </c>
      <c r="K217" s="53" t="s">
        <v>1648</v>
      </c>
      <c r="L217" s="53" t="s">
        <v>15</v>
      </c>
      <c r="M217" s="53" t="s">
        <v>15</v>
      </c>
      <c r="N217" s="53" t="s">
        <v>15</v>
      </c>
      <c r="O217" s="53" t="s">
        <v>15</v>
      </c>
    </row>
    <row r="218" spans="1:15" x14ac:dyDescent="0.25">
      <c r="A218" s="52" t="s">
        <v>4464</v>
      </c>
      <c r="B218" s="54" t="str">
        <f t="shared" si="3"/>
        <v>IC,,NXP,P82B715,DIP8</v>
      </c>
      <c r="C218" s="53" t="s">
        <v>15</v>
      </c>
      <c r="D218" s="53" t="s">
        <v>15</v>
      </c>
      <c r="E218" s="53" t="s">
        <v>423</v>
      </c>
      <c r="F218" s="53" t="s">
        <v>15</v>
      </c>
      <c r="G218" s="53"/>
      <c r="H218" s="53" t="s">
        <v>699</v>
      </c>
      <c r="I218" s="53" t="s">
        <v>1649</v>
      </c>
      <c r="J218" s="53" t="s">
        <v>423</v>
      </c>
      <c r="K218" s="53" t="s">
        <v>1650</v>
      </c>
      <c r="L218" s="53" t="s">
        <v>15</v>
      </c>
      <c r="M218" s="53" t="s">
        <v>15</v>
      </c>
      <c r="N218" s="53" t="s">
        <v>15</v>
      </c>
      <c r="O218" s="53" t="s">
        <v>15</v>
      </c>
    </row>
    <row r="219" spans="1:15" x14ac:dyDescent="0.25">
      <c r="A219" s="52" t="s">
        <v>4465</v>
      </c>
      <c r="B219" s="54" t="str">
        <f t="shared" si="3"/>
        <v>IC,,MAXIM,MAX232,DIP16</v>
      </c>
      <c r="C219" s="53" t="s">
        <v>15</v>
      </c>
      <c r="D219" s="53" t="s">
        <v>15</v>
      </c>
      <c r="E219" s="53" t="s">
        <v>15</v>
      </c>
      <c r="F219" s="53" t="s">
        <v>15</v>
      </c>
      <c r="G219" s="53"/>
      <c r="H219" s="53" t="s">
        <v>1229</v>
      </c>
      <c r="I219" s="53" t="s">
        <v>1488</v>
      </c>
      <c r="J219" s="53" t="s">
        <v>432</v>
      </c>
      <c r="K219" s="53" t="s">
        <v>1651</v>
      </c>
      <c r="L219" s="53" t="s">
        <v>15</v>
      </c>
      <c r="M219" s="53" t="s">
        <v>15</v>
      </c>
      <c r="N219" s="53" t="s">
        <v>15</v>
      </c>
      <c r="O219" s="53" t="s">
        <v>15</v>
      </c>
    </row>
    <row r="220" spans="1:15" x14ac:dyDescent="0.25">
      <c r="A220" s="52" t="s">
        <v>4466</v>
      </c>
      <c r="B220" s="54" t="str">
        <f t="shared" si="3"/>
        <v>IC,,TOSHIBA,ULN2003,DIP16</v>
      </c>
      <c r="C220" s="53" t="s">
        <v>15</v>
      </c>
      <c r="D220" s="53" t="s">
        <v>15</v>
      </c>
      <c r="E220" s="53" t="s">
        <v>15</v>
      </c>
      <c r="F220" s="53" t="s">
        <v>15</v>
      </c>
      <c r="G220" s="53"/>
      <c r="H220" s="53" t="s">
        <v>1021</v>
      </c>
      <c r="I220" s="53" t="s">
        <v>1652</v>
      </c>
      <c r="J220" s="53" t="s">
        <v>432</v>
      </c>
      <c r="K220" s="53" t="s">
        <v>1653</v>
      </c>
      <c r="L220" s="53" t="s">
        <v>15</v>
      </c>
      <c r="M220" s="53" t="s">
        <v>15</v>
      </c>
      <c r="N220" s="53" t="s">
        <v>15</v>
      </c>
      <c r="O220" s="53" t="s">
        <v>15</v>
      </c>
    </row>
    <row r="221" spans="1:15" x14ac:dyDescent="0.25">
      <c r="A221" s="52" t="s">
        <v>4467</v>
      </c>
      <c r="B221" s="54" t="str">
        <f t="shared" si="3"/>
        <v>IC,,TOSHIBA,ULN2803,DIP18</v>
      </c>
      <c r="C221" s="53" t="s">
        <v>15</v>
      </c>
      <c r="D221" s="53" t="s">
        <v>15</v>
      </c>
      <c r="E221" s="53" t="s">
        <v>15</v>
      </c>
      <c r="F221" s="53" t="s">
        <v>15</v>
      </c>
      <c r="G221" s="53"/>
      <c r="H221" s="53" t="s">
        <v>1021</v>
      </c>
      <c r="I221" s="53" t="s">
        <v>1463</v>
      </c>
      <c r="J221" s="53" t="s">
        <v>436</v>
      </c>
      <c r="K221" s="53" t="s">
        <v>1654</v>
      </c>
      <c r="L221" s="53" t="s">
        <v>15</v>
      </c>
      <c r="M221" s="53" t="s">
        <v>15</v>
      </c>
      <c r="N221" s="53" t="s">
        <v>15</v>
      </c>
      <c r="O221" s="53" t="s">
        <v>15</v>
      </c>
    </row>
    <row r="222" spans="1:15" x14ac:dyDescent="0.25">
      <c r="A222" s="52" t="s">
        <v>4468</v>
      </c>
      <c r="B222" s="54" t="str">
        <f t="shared" si="3"/>
        <v>IC,,MOTOROLA,MC1488,</v>
      </c>
      <c r="C222" s="53" t="s">
        <v>15</v>
      </c>
      <c r="D222" s="53" t="s">
        <v>15</v>
      </c>
      <c r="E222" s="53" t="s">
        <v>15</v>
      </c>
      <c r="F222" s="53" t="s">
        <v>15</v>
      </c>
      <c r="G222" s="53"/>
      <c r="H222" s="53" t="s">
        <v>1086</v>
      </c>
      <c r="I222" s="53" t="s">
        <v>1655</v>
      </c>
      <c r="J222" s="53" t="s">
        <v>15</v>
      </c>
      <c r="K222" s="53" t="s">
        <v>1656</v>
      </c>
      <c r="L222" s="53" t="s">
        <v>15</v>
      </c>
      <c r="M222" s="53" t="s">
        <v>15</v>
      </c>
      <c r="N222" s="53" t="s">
        <v>15</v>
      </c>
      <c r="O222" s="53" t="s">
        <v>15</v>
      </c>
    </row>
    <row r="223" spans="1:15" x14ac:dyDescent="0.25">
      <c r="A223" s="52" t="s">
        <v>4469</v>
      </c>
      <c r="B223" s="54" t="str">
        <f t="shared" si="3"/>
        <v>IC,,MOTOROLA,MC1489,</v>
      </c>
      <c r="C223" s="53" t="s">
        <v>15</v>
      </c>
      <c r="D223" s="53" t="s">
        <v>15</v>
      </c>
      <c r="E223" s="53" t="s">
        <v>15</v>
      </c>
      <c r="F223" s="53" t="s">
        <v>15</v>
      </c>
      <c r="G223" s="53"/>
      <c r="H223" s="53" t="s">
        <v>1086</v>
      </c>
      <c r="I223" s="53" t="s">
        <v>1657</v>
      </c>
      <c r="J223" s="53" t="s">
        <v>15</v>
      </c>
      <c r="K223" s="53" t="s">
        <v>1658</v>
      </c>
      <c r="L223" s="53" t="s">
        <v>15</v>
      </c>
      <c r="M223" s="53" t="s">
        <v>15</v>
      </c>
      <c r="N223" s="53" t="s">
        <v>15</v>
      </c>
      <c r="O223" s="53" t="s">
        <v>15</v>
      </c>
    </row>
    <row r="224" spans="1:15" x14ac:dyDescent="0.25">
      <c r="A224" s="52" t="s">
        <v>4470</v>
      </c>
      <c r="B224" s="54" t="str">
        <f t="shared" si="3"/>
        <v>IC,,ST,L200,</v>
      </c>
      <c r="C224" s="53" t="s">
        <v>15</v>
      </c>
      <c r="D224" s="53" t="s">
        <v>15</v>
      </c>
      <c r="E224" s="53" t="s">
        <v>15</v>
      </c>
      <c r="F224" s="53" t="s">
        <v>15</v>
      </c>
      <c r="G224" s="53"/>
      <c r="H224" s="53" t="s">
        <v>807</v>
      </c>
      <c r="I224" s="53" t="s">
        <v>1659</v>
      </c>
      <c r="J224" s="53" t="s">
        <v>15</v>
      </c>
      <c r="K224" s="53" t="s">
        <v>1660</v>
      </c>
      <c r="L224" s="53" t="s">
        <v>15</v>
      </c>
      <c r="M224" s="53" t="s">
        <v>15</v>
      </c>
      <c r="N224" s="53" t="s">
        <v>15</v>
      </c>
      <c r="O224" s="53" t="s">
        <v>15</v>
      </c>
    </row>
    <row r="225" spans="1:15" x14ac:dyDescent="0.25">
      <c r="A225" s="52" t="s">
        <v>4471</v>
      </c>
      <c r="B225" s="54" t="str">
        <f t="shared" si="3"/>
        <v>IC,,NEC,UPC1651,</v>
      </c>
      <c r="C225" s="53" t="s">
        <v>15</v>
      </c>
      <c r="D225" s="53" t="s">
        <v>15</v>
      </c>
      <c r="E225" s="53" t="s">
        <v>15</v>
      </c>
      <c r="F225" s="53" t="s">
        <v>15</v>
      </c>
      <c r="G225" s="53"/>
      <c r="H225" s="53" t="s">
        <v>1661</v>
      </c>
      <c r="I225" s="53" t="s">
        <v>1662</v>
      </c>
      <c r="J225" s="53" t="s">
        <v>15</v>
      </c>
      <c r="K225" s="53" t="s">
        <v>1663</v>
      </c>
      <c r="L225" s="53" t="s">
        <v>15</v>
      </c>
      <c r="M225" s="53" t="s">
        <v>15</v>
      </c>
      <c r="N225" s="53" t="s">
        <v>15</v>
      </c>
      <c r="O225" s="53" t="s">
        <v>15</v>
      </c>
    </row>
    <row r="226" spans="1:15" x14ac:dyDescent="0.25">
      <c r="A226" s="52" t="s">
        <v>4472</v>
      </c>
      <c r="B226" s="54" t="str">
        <f t="shared" si="3"/>
        <v>IC,,,TIL919,</v>
      </c>
      <c r="C226" s="53" t="s">
        <v>15</v>
      </c>
      <c r="D226" s="53" t="s">
        <v>15</v>
      </c>
      <c r="E226" s="53" t="s">
        <v>15</v>
      </c>
      <c r="F226" s="53" t="s">
        <v>15</v>
      </c>
      <c r="G226" s="53"/>
      <c r="H226" s="53" t="s">
        <v>15</v>
      </c>
      <c r="I226" s="53" t="s">
        <v>1664</v>
      </c>
      <c r="J226" s="53" t="s">
        <v>15</v>
      </c>
      <c r="K226" s="53" t="s">
        <v>1665</v>
      </c>
      <c r="L226" s="53" t="s">
        <v>15</v>
      </c>
      <c r="M226" s="53" t="s">
        <v>15</v>
      </c>
      <c r="N226" s="53" t="s">
        <v>15</v>
      </c>
      <c r="O226" s="53" t="s">
        <v>15</v>
      </c>
    </row>
    <row r="227" spans="1:15" x14ac:dyDescent="0.25">
      <c r="A227" s="52" t="s">
        <v>4473</v>
      </c>
      <c r="B227" s="54" t="str">
        <f t="shared" si="3"/>
        <v>IC,,,MCT6,</v>
      </c>
      <c r="C227" s="53" t="s">
        <v>15</v>
      </c>
      <c r="D227" s="53" t="s">
        <v>15</v>
      </c>
      <c r="E227" s="53" t="s">
        <v>15</v>
      </c>
      <c r="F227" s="53" t="s">
        <v>15</v>
      </c>
      <c r="G227" s="53"/>
      <c r="H227" s="53" t="s">
        <v>15</v>
      </c>
      <c r="I227" s="53" t="s">
        <v>1666</v>
      </c>
      <c r="J227" s="53" t="s">
        <v>15</v>
      </c>
      <c r="K227" s="53" t="s">
        <v>1667</v>
      </c>
      <c r="L227" s="53" t="s">
        <v>15</v>
      </c>
      <c r="M227" s="53" t="s">
        <v>15</v>
      </c>
      <c r="N227" s="53" t="s">
        <v>15</v>
      </c>
      <c r="O227" s="53" t="s">
        <v>15</v>
      </c>
    </row>
    <row r="228" spans="1:15" x14ac:dyDescent="0.25">
      <c r="A228" s="52" t="s">
        <v>4474</v>
      </c>
      <c r="B228" s="54" t="str">
        <f t="shared" si="3"/>
        <v>IC,,,74OL6000,</v>
      </c>
      <c r="C228" s="53" t="s">
        <v>15</v>
      </c>
      <c r="D228" s="53" t="s">
        <v>15</v>
      </c>
      <c r="E228" s="53" t="s">
        <v>15</v>
      </c>
      <c r="F228" s="53" t="s">
        <v>15</v>
      </c>
      <c r="G228" s="53"/>
      <c r="H228" s="53" t="s">
        <v>15</v>
      </c>
      <c r="I228" s="53" t="s">
        <v>1668</v>
      </c>
      <c r="J228" s="53" t="s">
        <v>15</v>
      </c>
      <c r="K228" s="53" t="s">
        <v>1669</v>
      </c>
      <c r="L228" s="53" t="s">
        <v>15</v>
      </c>
      <c r="M228" s="53" t="s">
        <v>15</v>
      </c>
      <c r="N228" s="53" t="s">
        <v>15</v>
      </c>
      <c r="O228" s="53" t="s">
        <v>15</v>
      </c>
    </row>
    <row r="229" spans="1:15" x14ac:dyDescent="0.25">
      <c r="A229" s="52" t="s">
        <v>4475</v>
      </c>
      <c r="B229" s="54" t="str">
        <f t="shared" si="3"/>
        <v>IC,,NATIONAL,LM323,</v>
      </c>
      <c r="C229" s="53" t="s">
        <v>15</v>
      </c>
      <c r="D229" s="53" t="s">
        <v>15</v>
      </c>
      <c r="E229" s="53" t="s">
        <v>15</v>
      </c>
      <c r="F229" s="53" t="s">
        <v>15</v>
      </c>
      <c r="G229" s="53"/>
      <c r="H229" s="53" t="s">
        <v>1556</v>
      </c>
      <c r="I229" s="53" t="s">
        <v>1670</v>
      </c>
      <c r="J229" s="53" t="s">
        <v>15</v>
      </c>
      <c r="K229" s="53" t="s">
        <v>1671</v>
      </c>
      <c r="L229" s="53" t="s">
        <v>15</v>
      </c>
      <c r="M229" s="53" t="s">
        <v>15</v>
      </c>
      <c r="N229" s="53" t="s">
        <v>15</v>
      </c>
      <c r="O229" s="53" t="s">
        <v>15</v>
      </c>
    </row>
    <row r="230" spans="1:15" x14ac:dyDescent="0.25">
      <c r="A230" s="52" t="s">
        <v>4476</v>
      </c>
      <c r="B230" s="54" t="str">
        <f t="shared" si="3"/>
        <v>IC,OPAMP,QUAD,NATIONAL,LM324,</v>
      </c>
      <c r="C230" s="53" t="s">
        <v>15</v>
      </c>
      <c r="D230" s="53" t="s">
        <v>15</v>
      </c>
      <c r="E230" s="53" t="s">
        <v>15</v>
      </c>
      <c r="F230" s="53" t="s">
        <v>15</v>
      </c>
      <c r="G230" s="53" t="s">
        <v>4020</v>
      </c>
      <c r="H230" s="53" t="s">
        <v>1556</v>
      </c>
      <c r="I230" s="53" t="s">
        <v>1672</v>
      </c>
      <c r="J230" s="53" t="s">
        <v>15</v>
      </c>
      <c r="K230" s="53" t="s">
        <v>1673</v>
      </c>
      <c r="L230" s="53" t="s">
        <v>15</v>
      </c>
      <c r="M230" s="53" t="s">
        <v>15</v>
      </c>
      <c r="N230" s="53" t="s">
        <v>15</v>
      </c>
      <c r="O230" s="53" t="s">
        <v>15</v>
      </c>
    </row>
    <row r="231" spans="1:15" x14ac:dyDescent="0.25">
      <c r="A231" s="52" t="s">
        <v>4477</v>
      </c>
      <c r="B231" s="54" t="str">
        <f t="shared" si="3"/>
        <v>IC,,NATIONAL,LM335,</v>
      </c>
      <c r="C231" s="53" t="s">
        <v>15</v>
      </c>
      <c r="D231" s="53" t="s">
        <v>15</v>
      </c>
      <c r="E231" s="53" t="s">
        <v>15</v>
      </c>
      <c r="F231" s="53" t="s">
        <v>15</v>
      </c>
      <c r="G231" s="53"/>
      <c r="H231" s="53" t="s">
        <v>1556</v>
      </c>
      <c r="I231" s="53" t="s">
        <v>1674</v>
      </c>
      <c r="J231" s="53" t="s">
        <v>15</v>
      </c>
      <c r="K231" s="53" t="s">
        <v>1675</v>
      </c>
      <c r="L231" s="53" t="s">
        <v>15</v>
      </c>
      <c r="M231" s="53" t="s">
        <v>15</v>
      </c>
      <c r="N231" s="53" t="s">
        <v>15</v>
      </c>
      <c r="O231" s="53" t="s">
        <v>15</v>
      </c>
    </row>
    <row r="232" spans="1:15" x14ac:dyDescent="0.25">
      <c r="A232" s="52" t="s">
        <v>4478</v>
      </c>
      <c r="B232" s="54" t="str">
        <f t="shared" si="3"/>
        <v>IC,,NATIONAL,LM336,</v>
      </c>
      <c r="C232" s="53" t="s">
        <v>15</v>
      </c>
      <c r="D232" s="53" t="s">
        <v>15</v>
      </c>
      <c r="E232" s="53" t="s">
        <v>15</v>
      </c>
      <c r="F232" s="53" t="s">
        <v>15</v>
      </c>
      <c r="G232" s="53"/>
      <c r="H232" s="53" t="s">
        <v>1556</v>
      </c>
      <c r="I232" s="53" t="s">
        <v>1676</v>
      </c>
      <c r="J232" s="53" t="s">
        <v>15</v>
      </c>
      <c r="K232" s="53" t="s">
        <v>1677</v>
      </c>
      <c r="L232" s="53" t="s">
        <v>15</v>
      </c>
      <c r="M232" s="53" t="s">
        <v>15</v>
      </c>
      <c r="N232" s="53" t="s">
        <v>15</v>
      </c>
      <c r="O232" s="53" t="s">
        <v>15</v>
      </c>
    </row>
    <row r="233" spans="1:15" x14ac:dyDescent="0.25">
      <c r="A233" s="52" t="s">
        <v>4479</v>
      </c>
      <c r="B233" s="54" t="str">
        <f t="shared" si="3"/>
        <v>IC,,ANALOG,AD811,DIP8</v>
      </c>
      <c r="C233" s="53" t="s">
        <v>15</v>
      </c>
      <c r="D233" s="53" t="s">
        <v>15</v>
      </c>
      <c r="E233" s="53" t="s">
        <v>423</v>
      </c>
      <c r="F233" s="53" t="s">
        <v>15</v>
      </c>
      <c r="G233" s="53"/>
      <c r="H233" s="53" t="s">
        <v>1561</v>
      </c>
      <c r="I233" s="53" t="s">
        <v>1678</v>
      </c>
      <c r="J233" s="53" t="s">
        <v>423</v>
      </c>
      <c r="K233" s="53" t="s">
        <v>1679</v>
      </c>
      <c r="L233" s="53" t="s">
        <v>15</v>
      </c>
      <c r="M233" s="53" t="s">
        <v>15</v>
      </c>
      <c r="N233" s="53" t="s">
        <v>15</v>
      </c>
      <c r="O233" s="53" t="s">
        <v>15</v>
      </c>
    </row>
    <row r="234" spans="1:15" x14ac:dyDescent="0.25">
      <c r="A234" s="52" t="s">
        <v>4480</v>
      </c>
      <c r="B234" s="54" t="str">
        <f t="shared" si="3"/>
        <v>IC,,NATIONAL,LM393,</v>
      </c>
      <c r="C234" s="53" t="s">
        <v>15</v>
      </c>
      <c r="D234" s="53" t="s">
        <v>15</v>
      </c>
      <c r="E234" s="53" t="s">
        <v>15</v>
      </c>
      <c r="F234" s="53" t="s">
        <v>15</v>
      </c>
      <c r="G234" s="53"/>
      <c r="H234" s="53" t="s">
        <v>1556</v>
      </c>
      <c r="I234" s="53" t="s">
        <v>1401</v>
      </c>
      <c r="J234" s="53" t="s">
        <v>15</v>
      </c>
      <c r="K234" s="53" t="s">
        <v>1680</v>
      </c>
      <c r="L234" s="53" t="s">
        <v>15</v>
      </c>
      <c r="M234" s="53" t="s">
        <v>15</v>
      </c>
      <c r="N234" s="53" t="s">
        <v>15</v>
      </c>
      <c r="O234" s="53" t="s">
        <v>15</v>
      </c>
    </row>
    <row r="235" spans="1:15" x14ac:dyDescent="0.25">
      <c r="A235" s="52" t="s">
        <v>4481</v>
      </c>
      <c r="B235" s="54" t="str">
        <f t="shared" si="3"/>
        <v>IC,,NATIONAL,NE5534,</v>
      </c>
      <c r="C235" s="53" t="s">
        <v>15</v>
      </c>
      <c r="D235" s="53" t="s">
        <v>15</v>
      </c>
      <c r="E235" s="53" t="s">
        <v>15</v>
      </c>
      <c r="F235" s="53" t="s">
        <v>15</v>
      </c>
      <c r="G235" s="53"/>
      <c r="H235" s="53" t="s">
        <v>1556</v>
      </c>
      <c r="I235" s="53" t="s">
        <v>1681</v>
      </c>
      <c r="J235" s="53" t="s">
        <v>15</v>
      </c>
      <c r="K235" s="53" t="s">
        <v>1682</v>
      </c>
      <c r="L235" s="53" t="s">
        <v>15</v>
      </c>
      <c r="M235" s="53" t="s">
        <v>15</v>
      </c>
      <c r="N235" s="53" t="s">
        <v>15</v>
      </c>
      <c r="O235" s="53" t="s">
        <v>15</v>
      </c>
    </row>
    <row r="236" spans="1:15" x14ac:dyDescent="0.25">
      <c r="A236" s="52" t="s">
        <v>4482</v>
      </c>
      <c r="B236" s="54" t="str">
        <f t="shared" si="3"/>
        <v>IC,,NATIONAL,LM3914,</v>
      </c>
      <c r="C236" s="53" t="s">
        <v>15</v>
      </c>
      <c r="D236" s="53" t="s">
        <v>15</v>
      </c>
      <c r="E236" s="53" t="s">
        <v>15</v>
      </c>
      <c r="F236" s="53" t="s">
        <v>15</v>
      </c>
      <c r="G236" s="53"/>
      <c r="H236" s="53" t="s">
        <v>1556</v>
      </c>
      <c r="I236" s="53" t="s">
        <v>1683</v>
      </c>
      <c r="J236" s="53" t="s">
        <v>15</v>
      </c>
      <c r="K236" s="53" t="s">
        <v>1684</v>
      </c>
      <c r="L236" s="53" t="s">
        <v>15</v>
      </c>
      <c r="M236" s="53" t="s">
        <v>15</v>
      </c>
      <c r="N236" s="53" t="s">
        <v>15</v>
      </c>
      <c r="O236" s="53" t="s">
        <v>15</v>
      </c>
    </row>
    <row r="237" spans="1:15" x14ac:dyDescent="0.25">
      <c r="A237" s="52" t="s">
        <v>4483</v>
      </c>
      <c r="B237" s="54" t="str">
        <f t="shared" si="3"/>
        <v>IC,,NATIONAL,LF13332,</v>
      </c>
      <c r="C237" s="53" t="s">
        <v>15</v>
      </c>
      <c r="D237" s="53" t="s">
        <v>15</v>
      </c>
      <c r="E237" s="53" t="s">
        <v>15</v>
      </c>
      <c r="F237" s="53" t="s">
        <v>15</v>
      </c>
      <c r="G237" s="53"/>
      <c r="H237" s="53" t="s">
        <v>1556</v>
      </c>
      <c r="I237" s="53" t="s">
        <v>1685</v>
      </c>
      <c r="J237" s="53" t="s">
        <v>15</v>
      </c>
      <c r="K237" s="53" t="s">
        <v>1686</v>
      </c>
      <c r="L237" s="53" t="s">
        <v>15</v>
      </c>
      <c r="M237" s="53" t="s">
        <v>15</v>
      </c>
      <c r="N237" s="53" t="s">
        <v>15</v>
      </c>
      <c r="O237" s="53" t="s">
        <v>15</v>
      </c>
    </row>
    <row r="238" spans="1:15" x14ac:dyDescent="0.25">
      <c r="A238" s="52" t="s">
        <v>4484</v>
      </c>
      <c r="B238" s="54" t="str">
        <f t="shared" si="3"/>
        <v>IC,,NATIONAL,LF13508,</v>
      </c>
      <c r="C238" s="53" t="s">
        <v>15</v>
      </c>
      <c r="D238" s="53" t="s">
        <v>15</v>
      </c>
      <c r="E238" s="53" t="s">
        <v>15</v>
      </c>
      <c r="F238" s="53" t="s">
        <v>15</v>
      </c>
      <c r="G238" s="53"/>
      <c r="H238" s="53" t="s">
        <v>1556</v>
      </c>
      <c r="I238" s="53" t="s">
        <v>1687</v>
      </c>
      <c r="J238" s="53" t="s">
        <v>15</v>
      </c>
      <c r="K238" s="53" t="s">
        <v>1688</v>
      </c>
      <c r="L238" s="53" t="s">
        <v>15</v>
      </c>
      <c r="M238" s="53" t="s">
        <v>15</v>
      </c>
      <c r="N238" s="53" t="s">
        <v>15</v>
      </c>
      <c r="O238" s="53" t="s">
        <v>15</v>
      </c>
    </row>
    <row r="239" spans="1:15" x14ac:dyDescent="0.25">
      <c r="A239" s="52" t="s">
        <v>4485</v>
      </c>
      <c r="B239" s="54" t="str">
        <f t="shared" si="3"/>
        <v>IC,,NATIONAL,LF355,</v>
      </c>
      <c r="C239" s="53" t="s">
        <v>15</v>
      </c>
      <c r="D239" s="53" t="s">
        <v>15</v>
      </c>
      <c r="E239" s="53" t="s">
        <v>15</v>
      </c>
      <c r="F239" s="53" t="s">
        <v>15</v>
      </c>
      <c r="G239" s="53"/>
      <c r="H239" s="53" t="s">
        <v>1556</v>
      </c>
      <c r="I239" s="53" t="s">
        <v>1689</v>
      </c>
      <c r="J239" s="53" t="s">
        <v>15</v>
      </c>
      <c r="K239" s="53" t="s">
        <v>1690</v>
      </c>
      <c r="L239" s="53" t="s">
        <v>15</v>
      </c>
      <c r="M239" s="53" t="s">
        <v>15</v>
      </c>
      <c r="N239" s="53" t="s">
        <v>15</v>
      </c>
      <c r="O239" s="53" t="s">
        <v>15</v>
      </c>
    </row>
    <row r="240" spans="1:15" x14ac:dyDescent="0.25">
      <c r="A240" s="52" t="s">
        <v>4486</v>
      </c>
      <c r="B240" s="54" t="str">
        <f t="shared" si="3"/>
        <v>IC,,NATIONAL,LF441,</v>
      </c>
      <c r="C240" s="53" t="s">
        <v>15</v>
      </c>
      <c r="D240" s="53" t="s">
        <v>15</v>
      </c>
      <c r="E240" s="53" t="s">
        <v>15</v>
      </c>
      <c r="F240" s="53" t="s">
        <v>15</v>
      </c>
      <c r="G240" s="53"/>
      <c r="H240" s="53" t="s">
        <v>1556</v>
      </c>
      <c r="I240" s="53" t="s">
        <v>1691</v>
      </c>
      <c r="J240" s="53" t="s">
        <v>15</v>
      </c>
      <c r="K240" s="53" t="s">
        <v>1692</v>
      </c>
      <c r="L240" s="53" t="s">
        <v>15</v>
      </c>
      <c r="M240" s="53" t="s">
        <v>15</v>
      </c>
      <c r="N240" s="53" t="s">
        <v>15</v>
      </c>
      <c r="O240" s="53" t="s">
        <v>15</v>
      </c>
    </row>
    <row r="241" spans="1:15" x14ac:dyDescent="0.25">
      <c r="A241" s="52" t="s">
        <v>4487</v>
      </c>
      <c r="B241" s="54" t="str">
        <f t="shared" si="3"/>
        <v>IC,,MAXIM,MAX712,</v>
      </c>
      <c r="C241" s="53" t="s">
        <v>15</v>
      </c>
      <c r="D241" s="53" t="s">
        <v>15</v>
      </c>
      <c r="E241" s="53" t="s">
        <v>15</v>
      </c>
      <c r="F241" s="53" t="s">
        <v>15</v>
      </c>
      <c r="G241" s="53"/>
      <c r="H241" s="53" t="s">
        <v>1229</v>
      </c>
      <c r="I241" s="53" t="s">
        <v>1693</v>
      </c>
      <c r="J241" s="53" t="s">
        <v>15</v>
      </c>
      <c r="K241" s="53" t="s">
        <v>1694</v>
      </c>
      <c r="L241" s="53" t="s">
        <v>15</v>
      </c>
      <c r="M241" s="53" t="s">
        <v>15</v>
      </c>
      <c r="N241" s="53" t="s">
        <v>15</v>
      </c>
      <c r="O241" s="53" t="s">
        <v>15</v>
      </c>
    </row>
    <row r="242" spans="1:15" x14ac:dyDescent="0.25">
      <c r="A242" s="52" t="s">
        <v>4488</v>
      </c>
      <c r="B242" s="54" t="str">
        <f t="shared" si="3"/>
        <v>IC,,MAXIM,MAX713,</v>
      </c>
      <c r="C242" s="53" t="s">
        <v>15</v>
      </c>
      <c r="D242" s="53" t="s">
        <v>15</v>
      </c>
      <c r="E242" s="53" t="s">
        <v>15</v>
      </c>
      <c r="F242" s="53" t="s">
        <v>15</v>
      </c>
      <c r="G242" s="53"/>
      <c r="H242" s="53" t="s">
        <v>1229</v>
      </c>
      <c r="I242" s="53" t="s">
        <v>1695</v>
      </c>
      <c r="J242" s="53" t="s">
        <v>15</v>
      </c>
      <c r="K242" s="53" t="s">
        <v>1696</v>
      </c>
      <c r="L242" s="53" t="s">
        <v>15</v>
      </c>
      <c r="M242" s="53" t="s">
        <v>15</v>
      </c>
      <c r="N242" s="53" t="s">
        <v>15</v>
      </c>
      <c r="O242" s="53" t="s">
        <v>15</v>
      </c>
    </row>
    <row r="243" spans="1:15" x14ac:dyDescent="0.25">
      <c r="A243" s="52" t="s">
        <v>4489</v>
      </c>
      <c r="B243" s="54" t="str">
        <f t="shared" si="3"/>
        <v>IC,LOGIC,QUAD NAND2,MISC,74HC00,</v>
      </c>
      <c r="C243" s="53" t="s">
        <v>15</v>
      </c>
      <c r="D243" s="53" t="s">
        <v>15</v>
      </c>
      <c r="E243" s="53" t="s">
        <v>15</v>
      </c>
      <c r="F243" s="53" t="s">
        <v>15</v>
      </c>
      <c r="G243" s="53" t="s">
        <v>4968</v>
      </c>
      <c r="H243" s="53" t="s">
        <v>466</v>
      </c>
      <c r="I243" s="53" t="s">
        <v>1697</v>
      </c>
      <c r="J243" s="53" t="s">
        <v>15</v>
      </c>
      <c r="K243" s="53" t="s">
        <v>1698</v>
      </c>
      <c r="L243" s="53" t="s">
        <v>15</v>
      </c>
      <c r="M243" s="53" t="s">
        <v>15</v>
      </c>
      <c r="N243" s="53" t="s">
        <v>15</v>
      </c>
      <c r="O243" s="53" t="s">
        <v>15</v>
      </c>
    </row>
    <row r="244" spans="1:15" x14ac:dyDescent="0.25">
      <c r="A244" s="52" t="s">
        <v>4490</v>
      </c>
      <c r="B244" s="54" t="str">
        <f t="shared" si="3"/>
        <v>IC,LOGIC,QUAD NOR2,MISC,74HC02,</v>
      </c>
      <c r="C244" s="53" t="s">
        <v>15</v>
      </c>
      <c r="D244" s="53" t="s">
        <v>15</v>
      </c>
      <c r="E244" s="53" t="s">
        <v>15</v>
      </c>
      <c r="F244" s="53" t="s">
        <v>15</v>
      </c>
      <c r="G244" s="53" t="s">
        <v>4967</v>
      </c>
      <c r="H244" s="53" t="s">
        <v>466</v>
      </c>
      <c r="I244" s="53" t="s">
        <v>1699</v>
      </c>
      <c r="J244" s="53" t="s">
        <v>15</v>
      </c>
      <c r="K244" s="53" t="s">
        <v>1698</v>
      </c>
      <c r="L244" s="53" t="s">
        <v>15</v>
      </c>
      <c r="M244" s="53" t="s">
        <v>15</v>
      </c>
      <c r="N244" s="53" t="s">
        <v>15</v>
      </c>
      <c r="O244" s="53" t="s">
        <v>15</v>
      </c>
    </row>
    <row r="245" spans="1:15" x14ac:dyDescent="0.25">
      <c r="A245" s="52" t="s">
        <v>4491</v>
      </c>
      <c r="B245" s="54" t="str">
        <f t="shared" si="3"/>
        <v>IC,LOGIC,QUAD NAND2 OC,MISC,74HC03,</v>
      </c>
      <c r="C245" s="53" t="s">
        <v>15</v>
      </c>
      <c r="D245" s="53" t="s">
        <v>15</v>
      </c>
      <c r="E245" s="53" t="s">
        <v>15</v>
      </c>
      <c r="F245" s="53" t="s">
        <v>15</v>
      </c>
      <c r="G245" s="53" t="s">
        <v>4966</v>
      </c>
      <c r="H245" s="53" t="s">
        <v>466</v>
      </c>
      <c r="I245" s="53" t="s">
        <v>1700</v>
      </c>
      <c r="J245" s="53" t="s">
        <v>15</v>
      </c>
      <c r="K245" s="53" t="s">
        <v>1698</v>
      </c>
      <c r="L245" s="53" t="s">
        <v>15</v>
      </c>
      <c r="M245" s="53" t="s">
        <v>15</v>
      </c>
      <c r="N245" s="53" t="s">
        <v>15</v>
      </c>
      <c r="O245" s="53" t="s">
        <v>15</v>
      </c>
    </row>
    <row r="246" spans="1:15" x14ac:dyDescent="0.25">
      <c r="A246" s="52" t="s">
        <v>4492</v>
      </c>
      <c r="B246" s="54" t="str">
        <f t="shared" si="3"/>
        <v>IC,LOGIC,TRIPLE AND3,MISC,74HC11,</v>
      </c>
      <c r="C246" s="53" t="s">
        <v>15</v>
      </c>
      <c r="D246" s="53" t="s">
        <v>15</v>
      </c>
      <c r="E246" s="53" t="s">
        <v>15</v>
      </c>
      <c r="F246" s="53" t="s">
        <v>15</v>
      </c>
      <c r="G246" s="53" t="s">
        <v>4965</v>
      </c>
      <c r="H246" s="53" t="s">
        <v>466</v>
      </c>
      <c r="I246" s="53" t="s">
        <v>1701</v>
      </c>
      <c r="J246" s="53" t="s">
        <v>15</v>
      </c>
      <c r="K246" s="53" t="s">
        <v>1702</v>
      </c>
      <c r="L246" s="53" t="s">
        <v>15</v>
      </c>
      <c r="M246" s="53" t="s">
        <v>15</v>
      </c>
      <c r="N246" s="53" t="s">
        <v>15</v>
      </c>
      <c r="O246" s="53" t="s">
        <v>15</v>
      </c>
    </row>
    <row r="247" spans="1:15" x14ac:dyDescent="0.25">
      <c r="A247" s="52" t="s">
        <v>4493</v>
      </c>
      <c r="B247" s="54" t="str">
        <f t="shared" si="3"/>
        <v>IC,LOGIC,HEX SCHMITT-NOT,MISC,74HC14,</v>
      </c>
      <c r="C247" s="53" t="s">
        <v>15</v>
      </c>
      <c r="D247" s="53" t="s">
        <v>15</v>
      </c>
      <c r="E247" s="53" t="s">
        <v>15</v>
      </c>
      <c r="F247" s="53" t="s">
        <v>15</v>
      </c>
      <c r="G247" s="53" t="s">
        <v>4961</v>
      </c>
      <c r="H247" s="53" t="s">
        <v>466</v>
      </c>
      <c r="I247" s="53" t="s">
        <v>1703</v>
      </c>
      <c r="J247" s="53" t="s">
        <v>15</v>
      </c>
      <c r="K247" s="53" t="s">
        <v>1702</v>
      </c>
      <c r="L247" s="53" t="s">
        <v>15</v>
      </c>
      <c r="M247" s="53" t="s">
        <v>15</v>
      </c>
      <c r="N247" s="53" t="s">
        <v>15</v>
      </c>
      <c r="O247" s="53" t="s">
        <v>15</v>
      </c>
    </row>
    <row r="248" spans="1:15" x14ac:dyDescent="0.25">
      <c r="A248" s="52" t="s">
        <v>4494</v>
      </c>
      <c r="B248" s="54" t="str">
        <f t="shared" si="3"/>
        <v>IC,,MISC,74HC20,</v>
      </c>
      <c r="C248" s="53" t="s">
        <v>15</v>
      </c>
      <c r="D248" s="53" t="s">
        <v>15</v>
      </c>
      <c r="E248" s="53" t="s">
        <v>15</v>
      </c>
      <c r="F248" s="53" t="s">
        <v>15</v>
      </c>
      <c r="G248" s="53"/>
      <c r="H248" s="53" t="s">
        <v>466</v>
      </c>
      <c r="I248" s="53" t="s">
        <v>1704</v>
      </c>
      <c r="J248" s="53" t="s">
        <v>15</v>
      </c>
      <c r="K248" s="53" t="s">
        <v>1702</v>
      </c>
      <c r="L248" s="53" t="s">
        <v>15</v>
      </c>
      <c r="M248" s="53" t="s">
        <v>15</v>
      </c>
      <c r="N248" s="53" t="s">
        <v>15</v>
      </c>
      <c r="O248" s="53" t="s">
        <v>15</v>
      </c>
    </row>
    <row r="249" spans="1:15" x14ac:dyDescent="0.25">
      <c r="A249" s="52" t="s">
        <v>4495</v>
      </c>
      <c r="B249" s="54" t="str">
        <f t="shared" si="3"/>
        <v>IC,,MISC,74HC74,</v>
      </c>
      <c r="C249" s="53" t="s">
        <v>15</v>
      </c>
      <c r="D249" s="53" t="s">
        <v>15</v>
      </c>
      <c r="E249" s="53" t="s">
        <v>15</v>
      </c>
      <c r="F249" s="53" t="s">
        <v>15</v>
      </c>
      <c r="G249" s="53"/>
      <c r="H249" s="53" t="s">
        <v>466</v>
      </c>
      <c r="I249" s="53" t="s">
        <v>1383</v>
      </c>
      <c r="J249" s="53" t="s">
        <v>15</v>
      </c>
      <c r="K249" s="53" t="s">
        <v>1705</v>
      </c>
      <c r="L249" s="53" t="s">
        <v>15</v>
      </c>
      <c r="M249" s="53" t="s">
        <v>15</v>
      </c>
      <c r="N249" s="53" t="s">
        <v>15</v>
      </c>
      <c r="O249" s="53" t="s">
        <v>15</v>
      </c>
    </row>
    <row r="250" spans="1:15" x14ac:dyDescent="0.25">
      <c r="A250" s="52" t="s">
        <v>4496</v>
      </c>
      <c r="B250" s="54" t="str">
        <f t="shared" si="3"/>
        <v>IC,,MISC,74HC86,</v>
      </c>
      <c r="C250" s="53" t="s">
        <v>15</v>
      </c>
      <c r="D250" s="53" t="s">
        <v>15</v>
      </c>
      <c r="E250" s="53" t="s">
        <v>15</v>
      </c>
      <c r="F250" s="53" t="s">
        <v>15</v>
      </c>
      <c r="G250" s="53"/>
      <c r="H250" s="53" t="s">
        <v>466</v>
      </c>
      <c r="I250" s="53" t="s">
        <v>1706</v>
      </c>
      <c r="J250" s="53" t="s">
        <v>15</v>
      </c>
      <c r="K250" s="53" t="s">
        <v>1705</v>
      </c>
      <c r="L250" s="53" t="s">
        <v>15</v>
      </c>
      <c r="M250" s="53" t="s">
        <v>15</v>
      </c>
      <c r="N250" s="53" t="s">
        <v>15</v>
      </c>
      <c r="O250" s="53" t="s">
        <v>15</v>
      </c>
    </row>
    <row r="251" spans="1:15" x14ac:dyDescent="0.25">
      <c r="A251" s="52" t="s">
        <v>4497</v>
      </c>
      <c r="B251" s="54" t="str">
        <f t="shared" si="3"/>
        <v>IC,,MISC,74HC138,</v>
      </c>
      <c r="C251" s="53" t="s">
        <v>15</v>
      </c>
      <c r="D251" s="53" t="s">
        <v>15</v>
      </c>
      <c r="E251" s="53" t="s">
        <v>15</v>
      </c>
      <c r="F251" s="53" t="s">
        <v>15</v>
      </c>
      <c r="G251" s="53"/>
      <c r="H251" s="53" t="s">
        <v>466</v>
      </c>
      <c r="I251" s="53" t="s">
        <v>1707</v>
      </c>
      <c r="J251" s="53" t="s">
        <v>15</v>
      </c>
      <c r="K251" s="53" t="s">
        <v>1705</v>
      </c>
      <c r="L251" s="53" t="s">
        <v>15</v>
      </c>
      <c r="M251" s="53" t="s">
        <v>15</v>
      </c>
      <c r="N251" s="53" t="s">
        <v>15</v>
      </c>
      <c r="O251" s="53" t="s">
        <v>15</v>
      </c>
    </row>
    <row r="252" spans="1:15" x14ac:dyDescent="0.25">
      <c r="A252" s="52" t="s">
        <v>4498</v>
      </c>
      <c r="B252" s="54" t="str">
        <f t="shared" si="3"/>
        <v>IC,,MISC,74HC132,</v>
      </c>
      <c r="C252" s="53" t="s">
        <v>15</v>
      </c>
      <c r="D252" s="53" t="s">
        <v>15</v>
      </c>
      <c r="E252" s="53" t="s">
        <v>15</v>
      </c>
      <c r="F252" s="53" t="s">
        <v>15</v>
      </c>
      <c r="G252" s="53"/>
      <c r="H252" s="53" t="s">
        <v>466</v>
      </c>
      <c r="I252" s="53" t="s">
        <v>1385</v>
      </c>
      <c r="J252" s="53" t="s">
        <v>15</v>
      </c>
      <c r="K252" s="53" t="s">
        <v>1708</v>
      </c>
      <c r="L252" s="53" t="s">
        <v>15</v>
      </c>
      <c r="M252" s="53" t="s">
        <v>15</v>
      </c>
      <c r="N252" s="53" t="s">
        <v>15</v>
      </c>
      <c r="O252" s="53" t="s">
        <v>15</v>
      </c>
    </row>
    <row r="253" spans="1:15" x14ac:dyDescent="0.25">
      <c r="A253" s="52" t="s">
        <v>4499</v>
      </c>
      <c r="B253" s="54" t="str">
        <f t="shared" si="3"/>
        <v>IC,,MISC,74HC244,DIP20</v>
      </c>
      <c r="C253" s="53" t="s">
        <v>15</v>
      </c>
      <c r="D253" s="53" t="s">
        <v>15</v>
      </c>
      <c r="E253" s="53" t="s">
        <v>15</v>
      </c>
      <c r="F253" s="53" t="s">
        <v>15</v>
      </c>
      <c r="G253" s="53"/>
      <c r="H253" s="53" t="s">
        <v>466</v>
      </c>
      <c r="I253" s="53" t="s">
        <v>1709</v>
      </c>
      <c r="J253" s="53" t="s">
        <v>440</v>
      </c>
      <c r="K253" s="53" t="s">
        <v>1708</v>
      </c>
      <c r="L253" s="53" t="s">
        <v>15</v>
      </c>
      <c r="M253" s="53" t="s">
        <v>15</v>
      </c>
      <c r="N253" s="53" t="s">
        <v>15</v>
      </c>
      <c r="O253" s="53" t="s">
        <v>15</v>
      </c>
    </row>
    <row r="254" spans="1:15" x14ac:dyDescent="0.25">
      <c r="A254" s="52" t="s">
        <v>4500</v>
      </c>
      <c r="B254" s="54" t="str">
        <f t="shared" si="3"/>
        <v>IC,,MISC,74HC245,DIP20</v>
      </c>
      <c r="C254" s="53" t="s">
        <v>15</v>
      </c>
      <c r="D254" s="53" t="s">
        <v>15</v>
      </c>
      <c r="E254" s="53" t="s">
        <v>15</v>
      </c>
      <c r="F254" s="53" t="s">
        <v>15</v>
      </c>
      <c r="G254" s="53"/>
      <c r="H254" s="53" t="s">
        <v>466</v>
      </c>
      <c r="I254" s="53" t="s">
        <v>1710</v>
      </c>
      <c r="J254" s="53" t="s">
        <v>440</v>
      </c>
      <c r="K254" s="53" t="s">
        <v>1708</v>
      </c>
      <c r="L254" s="53" t="s">
        <v>15</v>
      </c>
      <c r="M254" s="53" t="s">
        <v>15</v>
      </c>
      <c r="N254" s="53" t="s">
        <v>15</v>
      </c>
      <c r="O254" s="53" t="s">
        <v>15</v>
      </c>
    </row>
    <row r="255" spans="1:15" x14ac:dyDescent="0.25">
      <c r="A255" s="52" t="s">
        <v>4501</v>
      </c>
      <c r="B255" s="54" t="str">
        <f t="shared" si="3"/>
        <v>IC,,MISC,74HC373,DIP20</v>
      </c>
      <c r="C255" s="53" t="s">
        <v>15</v>
      </c>
      <c r="D255" s="53" t="s">
        <v>15</v>
      </c>
      <c r="E255" s="53" t="s">
        <v>15</v>
      </c>
      <c r="F255" s="53" t="s">
        <v>15</v>
      </c>
      <c r="G255" s="53"/>
      <c r="H255" s="53" t="s">
        <v>466</v>
      </c>
      <c r="I255" s="53" t="s">
        <v>1711</v>
      </c>
      <c r="J255" s="53" t="s">
        <v>440</v>
      </c>
      <c r="K255" s="53" t="s">
        <v>1708</v>
      </c>
      <c r="L255" s="53" t="s">
        <v>15</v>
      </c>
      <c r="M255" s="53" t="s">
        <v>15</v>
      </c>
      <c r="N255" s="53" t="s">
        <v>15</v>
      </c>
      <c r="O255" s="53" t="s">
        <v>15</v>
      </c>
    </row>
    <row r="256" spans="1:15" x14ac:dyDescent="0.25">
      <c r="A256" s="52" t="s">
        <v>4502</v>
      </c>
      <c r="B256" s="54" t="str">
        <f t="shared" si="3"/>
        <v>IC,,MISC,74HC04,</v>
      </c>
      <c r="C256" s="53" t="s">
        <v>15</v>
      </c>
      <c r="D256" s="53" t="s">
        <v>15</v>
      </c>
      <c r="E256" s="53" t="s">
        <v>15</v>
      </c>
      <c r="F256" s="53" t="s">
        <v>15</v>
      </c>
      <c r="G256" s="53"/>
      <c r="H256" s="53" t="s">
        <v>466</v>
      </c>
      <c r="I256" s="53" t="s">
        <v>1712</v>
      </c>
      <c r="J256" s="53" t="s">
        <v>15</v>
      </c>
      <c r="K256" s="53" t="s">
        <v>1713</v>
      </c>
      <c r="L256" s="53" t="s">
        <v>15</v>
      </c>
      <c r="M256" s="53" t="s">
        <v>15</v>
      </c>
      <c r="N256" s="53" t="s">
        <v>15</v>
      </c>
      <c r="O256" s="53" t="s">
        <v>15</v>
      </c>
    </row>
    <row r="257" spans="1:15" x14ac:dyDescent="0.25">
      <c r="A257" s="52" t="s">
        <v>4503</v>
      </c>
      <c r="B257" s="54" t="str">
        <f t="shared" si="3"/>
        <v>IC,,MISC,74HC08,</v>
      </c>
      <c r="C257" s="53" t="s">
        <v>15</v>
      </c>
      <c r="D257" s="53" t="s">
        <v>15</v>
      </c>
      <c r="E257" s="53" t="s">
        <v>15</v>
      </c>
      <c r="F257" s="53" t="s">
        <v>15</v>
      </c>
      <c r="G257" s="53"/>
      <c r="H257" s="53" t="s">
        <v>466</v>
      </c>
      <c r="I257" s="53" t="s">
        <v>1714</v>
      </c>
      <c r="J257" s="53" t="s">
        <v>15</v>
      </c>
      <c r="K257" s="53" t="s">
        <v>1713</v>
      </c>
      <c r="L257" s="53" t="s">
        <v>15</v>
      </c>
      <c r="M257" s="53" t="s">
        <v>15</v>
      </c>
      <c r="N257" s="53" t="s">
        <v>15</v>
      </c>
      <c r="O257" s="53" t="s">
        <v>15</v>
      </c>
    </row>
    <row r="258" spans="1:15" x14ac:dyDescent="0.25">
      <c r="A258" s="52" t="s">
        <v>4504</v>
      </c>
      <c r="B258" s="54" t="str">
        <f t="shared" si="3"/>
        <v>IC,,MISC,74HC10,</v>
      </c>
      <c r="C258" s="53" t="s">
        <v>15</v>
      </c>
      <c r="D258" s="53" t="s">
        <v>15</v>
      </c>
      <c r="E258" s="53" t="s">
        <v>15</v>
      </c>
      <c r="F258" s="53" t="s">
        <v>15</v>
      </c>
      <c r="G258" s="53"/>
      <c r="H258" s="53" t="s">
        <v>466</v>
      </c>
      <c r="I258" s="53" t="s">
        <v>1715</v>
      </c>
      <c r="J258" s="53" t="s">
        <v>15</v>
      </c>
      <c r="K258" s="53" t="s">
        <v>1713</v>
      </c>
      <c r="L258" s="53" t="s">
        <v>15</v>
      </c>
      <c r="M258" s="53" t="s">
        <v>15</v>
      </c>
      <c r="N258" s="53" t="s">
        <v>15</v>
      </c>
      <c r="O258" s="53" t="s">
        <v>15</v>
      </c>
    </row>
    <row r="259" spans="1:15" x14ac:dyDescent="0.25">
      <c r="A259" s="52" t="s">
        <v>4505</v>
      </c>
      <c r="B259" s="54" t="str">
        <f t="shared" ref="B259:B322" si="4">_xlfn.CONCAT("IC,",G259,",",H259,",",I259,",",J259)</f>
        <v>IC,,MISC,74HC21,</v>
      </c>
      <c r="C259" s="53" t="s">
        <v>15</v>
      </c>
      <c r="D259" s="53" t="s">
        <v>15</v>
      </c>
      <c r="E259" s="53" t="s">
        <v>15</v>
      </c>
      <c r="F259" s="53" t="s">
        <v>15</v>
      </c>
      <c r="G259" s="53"/>
      <c r="H259" s="53" t="s">
        <v>466</v>
      </c>
      <c r="I259" s="53" t="s">
        <v>1716</v>
      </c>
      <c r="J259" s="53" t="s">
        <v>15</v>
      </c>
      <c r="K259" s="53" t="s">
        <v>1717</v>
      </c>
      <c r="L259" s="53" t="s">
        <v>15</v>
      </c>
      <c r="M259" s="53" t="s">
        <v>15</v>
      </c>
      <c r="N259" s="53" t="s">
        <v>15</v>
      </c>
      <c r="O259" s="53" t="s">
        <v>15</v>
      </c>
    </row>
    <row r="260" spans="1:15" x14ac:dyDescent="0.25">
      <c r="A260" s="52" t="s">
        <v>4506</v>
      </c>
      <c r="B260" s="54" t="str">
        <f t="shared" si="4"/>
        <v>IC,,MISC,74HC27,</v>
      </c>
      <c r="C260" s="53" t="s">
        <v>15</v>
      </c>
      <c r="D260" s="53" t="s">
        <v>15</v>
      </c>
      <c r="E260" s="53" t="s">
        <v>15</v>
      </c>
      <c r="F260" s="53" t="s">
        <v>15</v>
      </c>
      <c r="G260" s="53"/>
      <c r="H260" s="53" t="s">
        <v>466</v>
      </c>
      <c r="I260" s="53" t="s">
        <v>1718</v>
      </c>
      <c r="J260" s="53" t="s">
        <v>15</v>
      </c>
      <c r="K260" s="53" t="s">
        <v>1717</v>
      </c>
      <c r="L260" s="53" t="s">
        <v>15</v>
      </c>
      <c r="M260" s="53" t="s">
        <v>15</v>
      </c>
      <c r="N260" s="53" t="s">
        <v>15</v>
      </c>
      <c r="O260" s="53" t="s">
        <v>15</v>
      </c>
    </row>
    <row r="261" spans="1:15" x14ac:dyDescent="0.25">
      <c r="A261" s="52" t="s">
        <v>4507</v>
      </c>
      <c r="B261" s="54" t="str">
        <f t="shared" si="4"/>
        <v>IC,,MISC,74HC32,</v>
      </c>
      <c r="C261" s="53" t="s">
        <v>15</v>
      </c>
      <c r="D261" s="53" t="s">
        <v>15</v>
      </c>
      <c r="E261" s="53" t="s">
        <v>15</v>
      </c>
      <c r="F261" s="53" t="s">
        <v>15</v>
      </c>
      <c r="G261" s="53"/>
      <c r="H261" s="53" t="s">
        <v>466</v>
      </c>
      <c r="I261" s="53" t="s">
        <v>1719</v>
      </c>
      <c r="J261" s="53" t="s">
        <v>15</v>
      </c>
      <c r="K261" s="53" t="s">
        <v>1717</v>
      </c>
      <c r="L261" s="53" t="s">
        <v>15</v>
      </c>
      <c r="M261" s="53" t="s">
        <v>15</v>
      </c>
      <c r="N261" s="53" t="s">
        <v>15</v>
      </c>
      <c r="O261" s="53" t="s">
        <v>15</v>
      </c>
    </row>
    <row r="262" spans="1:15" x14ac:dyDescent="0.25">
      <c r="A262" s="52" t="s">
        <v>4508</v>
      </c>
      <c r="B262" s="54" t="str">
        <f t="shared" si="4"/>
        <v>IC,,MISC,74HC151,</v>
      </c>
      <c r="C262" s="53" t="s">
        <v>15</v>
      </c>
      <c r="D262" s="53" t="s">
        <v>15</v>
      </c>
      <c r="E262" s="53" t="s">
        <v>15</v>
      </c>
      <c r="F262" s="53" t="s">
        <v>15</v>
      </c>
      <c r="G262" s="53"/>
      <c r="H262" s="53" t="s">
        <v>466</v>
      </c>
      <c r="I262" s="53" t="s">
        <v>1720</v>
      </c>
      <c r="J262" s="53" t="s">
        <v>15</v>
      </c>
      <c r="K262" s="53" t="s">
        <v>1721</v>
      </c>
      <c r="L262" s="53" t="s">
        <v>15</v>
      </c>
      <c r="M262" s="53" t="s">
        <v>15</v>
      </c>
      <c r="N262" s="53" t="s">
        <v>15</v>
      </c>
      <c r="O262" s="53" t="s">
        <v>15</v>
      </c>
    </row>
    <row r="263" spans="1:15" x14ac:dyDescent="0.25">
      <c r="A263" s="52" t="s">
        <v>4509</v>
      </c>
      <c r="B263" s="54" t="str">
        <f t="shared" si="4"/>
        <v>IC,,MISC,74HC153,</v>
      </c>
      <c r="C263" s="53" t="s">
        <v>15</v>
      </c>
      <c r="D263" s="53" t="s">
        <v>15</v>
      </c>
      <c r="E263" s="53" t="s">
        <v>15</v>
      </c>
      <c r="F263" s="53" t="s">
        <v>15</v>
      </c>
      <c r="G263" s="53"/>
      <c r="H263" s="53" t="s">
        <v>466</v>
      </c>
      <c r="I263" s="53" t="s">
        <v>1722</v>
      </c>
      <c r="J263" s="53" t="s">
        <v>15</v>
      </c>
      <c r="K263" s="53" t="s">
        <v>1721</v>
      </c>
      <c r="L263" s="53" t="s">
        <v>15</v>
      </c>
      <c r="M263" s="53" t="s">
        <v>15</v>
      </c>
      <c r="N263" s="53" t="s">
        <v>15</v>
      </c>
      <c r="O263" s="53" t="s">
        <v>15</v>
      </c>
    </row>
    <row r="264" spans="1:15" x14ac:dyDescent="0.25">
      <c r="A264" s="52" t="s">
        <v>4510</v>
      </c>
      <c r="B264" s="54" t="str">
        <f t="shared" si="4"/>
        <v>IC,,MISC,74HC257,</v>
      </c>
      <c r="C264" s="53" t="s">
        <v>15</v>
      </c>
      <c r="D264" s="53" t="s">
        <v>15</v>
      </c>
      <c r="E264" s="53" t="s">
        <v>15</v>
      </c>
      <c r="F264" s="53" t="s">
        <v>15</v>
      </c>
      <c r="G264" s="53"/>
      <c r="H264" s="53" t="s">
        <v>466</v>
      </c>
      <c r="I264" s="53" t="s">
        <v>1723</v>
      </c>
      <c r="J264" s="53" t="s">
        <v>15</v>
      </c>
      <c r="K264" s="53" t="s">
        <v>1721</v>
      </c>
      <c r="L264" s="53" t="s">
        <v>15</v>
      </c>
      <c r="M264" s="53" t="s">
        <v>15</v>
      </c>
      <c r="N264" s="53" t="s">
        <v>15</v>
      </c>
      <c r="O264" s="53" t="s">
        <v>15</v>
      </c>
    </row>
    <row r="265" spans="1:15" x14ac:dyDescent="0.25">
      <c r="A265" s="52" t="s">
        <v>4511</v>
      </c>
      <c r="B265" s="54" t="str">
        <f t="shared" si="4"/>
        <v>IC,,MISC,74F299,DIP20</v>
      </c>
      <c r="C265" s="53" t="s">
        <v>15</v>
      </c>
      <c r="D265" s="53" t="s">
        <v>15</v>
      </c>
      <c r="E265" s="53" t="s">
        <v>15</v>
      </c>
      <c r="F265" s="53" t="s">
        <v>15</v>
      </c>
      <c r="G265" s="53"/>
      <c r="H265" s="53" t="s">
        <v>466</v>
      </c>
      <c r="I265" s="53" t="s">
        <v>1724</v>
      </c>
      <c r="J265" s="53" t="s">
        <v>440</v>
      </c>
      <c r="K265" s="53" t="s">
        <v>1721</v>
      </c>
      <c r="L265" s="53" t="s">
        <v>15</v>
      </c>
      <c r="M265" s="53" t="s">
        <v>15</v>
      </c>
      <c r="N265" s="53" t="s">
        <v>15</v>
      </c>
      <c r="O265" s="53" t="s">
        <v>15</v>
      </c>
    </row>
    <row r="266" spans="1:15" x14ac:dyDescent="0.25">
      <c r="A266" s="52" t="s">
        <v>4512</v>
      </c>
      <c r="B266" s="54" t="str">
        <f t="shared" si="4"/>
        <v>IC,,MISC,74HCT541,DIP20</v>
      </c>
      <c r="C266" s="53" t="s">
        <v>15</v>
      </c>
      <c r="D266" s="53" t="s">
        <v>15</v>
      </c>
      <c r="E266" s="53" t="s">
        <v>15</v>
      </c>
      <c r="F266" s="53" t="s">
        <v>15</v>
      </c>
      <c r="G266" s="53"/>
      <c r="H266" s="53" t="s">
        <v>466</v>
      </c>
      <c r="I266" s="53" t="s">
        <v>1725</v>
      </c>
      <c r="J266" s="53" t="s">
        <v>440</v>
      </c>
      <c r="K266" s="53" t="s">
        <v>1726</v>
      </c>
      <c r="L266" s="53" t="s">
        <v>15</v>
      </c>
      <c r="M266" s="53" t="s">
        <v>15</v>
      </c>
      <c r="N266" s="53" t="s">
        <v>15</v>
      </c>
      <c r="O266" s="53" t="s">
        <v>15</v>
      </c>
    </row>
    <row r="267" spans="1:15" x14ac:dyDescent="0.25">
      <c r="A267" s="52" t="s">
        <v>4513</v>
      </c>
      <c r="B267" s="54" t="str">
        <f t="shared" si="4"/>
        <v>IC,,MISC,74HCT573,DIP20</v>
      </c>
      <c r="C267" s="53" t="s">
        <v>15</v>
      </c>
      <c r="D267" s="53" t="s">
        <v>15</v>
      </c>
      <c r="E267" s="53" t="s">
        <v>15</v>
      </c>
      <c r="F267" s="53" t="s">
        <v>15</v>
      </c>
      <c r="G267" s="53"/>
      <c r="H267" s="53" t="s">
        <v>466</v>
      </c>
      <c r="I267" s="53" t="s">
        <v>1343</v>
      </c>
      <c r="J267" s="53" t="s">
        <v>440</v>
      </c>
      <c r="K267" s="53" t="s">
        <v>1726</v>
      </c>
      <c r="L267" s="53" t="s">
        <v>15</v>
      </c>
      <c r="M267" s="53" t="s">
        <v>15</v>
      </c>
      <c r="N267" s="53" t="s">
        <v>15</v>
      </c>
      <c r="O267" s="53" t="s">
        <v>15</v>
      </c>
    </row>
    <row r="268" spans="1:15" x14ac:dyDescent="0.25">
      <c r="A268" s="52" t="s">
        <v>4514</v>
      </c>
      <c r="B268" s="54" t="str">
        <f t="shared" si="4"/>
        <v>IC,,MISC,74HCT574,DIP20</v>
      </c>
      <c r="C268" s="53" t="s">
        <v>15</v>
      </c>
      <c r="D268" s="53" t="s">
        <v>15</v>
      </c>
      <c r="E268" s="53" t="s">
        <v>15</v>
      </c>
      <c r="F268" s="53" t="s">
        <v>15</v>
      </c>
      <c r="G268" s="53"/>
      <c r="H268" s="53" t="s">
        <v>466</v>
      </c>
      <c r="I268" s="53" t="s">
        <v>1727</v>
      </c>
      <c r="J268" s="53" t="s">
        <v>440</v>
      </c>
      <c r="K268" s="53" t="s">
        <v>1726</v>
      </c>
      <c r="L268" s="53" t="s">
        <v>15</v>
      </c>
      <c r="M268" s="53" t="s">
        <v>15</v>
      </c>
      <c r="N268" s="53" t="s">
        <v>15</v>
      </c>
      <c r="O268" s="53" t="s">
        <v>15</v>
      </c>
    </row>
    <row r="269" spans="1:15" x14ac:dyDescent="0.25">
      <c r="A269" s="52" t="s">
        <v>4515</v>
      </c>
      <c r="B269" s="54" t="str">
        <f t="shared" si="4"/>
        <v>IC,,MISC,74HCT688,</v>
      </c>
      <c r="C269" s="53" t="s">
        <v>15</v>
      </c>
      <c r="D269" s="53" t="s">
        <v>15</v>
      </c>
      <c r="E269" s="53" t="s">
        <v>15</v>
      </c>
      <c r="F269" s="53" t="s">
        <v>15</v>
      </c>
      <c r="G269" s="53"/>
      <c r="H269" s="53" t="s">
        <v>466</v>
      </c>
      <c r="I269" s="53" t="s">
        <v>1728</v>
      </c>
      <c r="J269" s="53" t="s">
        <v>15</v>
      </c>
      <c r="K269" s="53" t="s">
        <v>1726</v>
      </c>
      <c r="L269" s="53" t="s">
        <v>15</v>
      </c>
      <c r="M269" s="53" t="s">
        <v>15</v>
      </c>
      <c r="N269" s="53" t="s">
        <v>15</v>
      </c>
      <c r="O269" s="53" t="s">
        <v>15</v>
      </c>
    </row>
    <row r="270" spans="1:15" x14ac:dyDescent="0.25">
      <c r="A270" s="52" t="s">
        <v>4516</v>
      </c>
      <c r="B270" s="54" t="str">
        <f t="shared" si="4"/>
        <v>IC,,MISC,74HC688,</v>
      </c>
      <c r="C270" s="53" t="s">
        <v>15</v>
      </c>
      <c r="D270" s="53" t="s">
        <v>15</v>
      </c>
      <c r="E270" s="53" t="s">
        <v>15</v>
      </c>
      <c r="F270" s="53" t="s">
        <v>15</v>
      </c>
      <c r="G270" s="53"/>
      <c r="H270" s="53" t="s">
        <v>466</v>
      </c>
      <c r="I270" s="53" t="s">
        <v>1729</v>
      </c>
      <c r="J270" s="53" t="s">
        <v>15</v>
      </c>
      <c r="K270" s="53" t="s">
        <v>1730</v>
      </c>
      <c r="L270" s="53" t="s">
        <v>15</v>
      </c>
      <c r="M270" s="53" t="s">
        <v>15</v>
      </c>
      <c r="N270" s="53" t="s">
        <v>15</v>
      </c>
      <c r="O270" s="53" t="s">
        <v>15</v>
      </c>
    </row>
    <row r="271" spans="1:15" x14ac:dyDescent="0.25">
      <c r="A271" s="52" t="s">
        <v>4517</v>
      </c>
      <c r="B271" s="54" t="str">
        <f t="shared" si="4"/>
        <v>IC,,MISC,74HC373,</v>
      </c>
      <c r="C271" s="53" t="s">
        <v>15</v>
      </c>
      <c r="D271" s="53" t="s">
        <v>15</v>
      </c>
      <c r="E271" s="53" t="s">
        <v>15</v>
      </c>
      <c r="F271" s="53" t="s">
        <v>15</v>
      </c>
      <c r="G271" s="53"/>
      <c r="H271" s="53" t="s">
        <v>466</v>
      </c>
      <c r="I271" s="53" t="s">
        <v>1711</v>
      </c>
      <c r="J271" s="53" t="s">
        <v>15</v>
      </c>
      <c r="K271" s="53" t="s">
        <v>1730</v>
      </c>
      <c r="L271" s="53" t="s">
        <v>15</v>
      </c>
      <c r="M271" s="53" t="s">
        <v>15</v>
      </c>
      <c r="N271" s="53" t="s">
        <v>15</v>
      </c>
      <c r="O271" s="53" t="s">
        <v>15</v>
      </c>
    </row>
    <row r="272" spans="1:15" x14ac:dyDescent="0.25">
      <c r="A272" s="52" t="s">
        <v>4518</v>
      </c>
      <c r="B272" s="54" t="str">
        <f t="shared" si="4"/>
        <v>IC,,MISC,74HC374,</v>
      </c>
      <c r="C272" s="53" t="s">
        <v>15</v>
      </c>
      <c r="D272" s="53" t="s">
        <v>15</v>
      </c>
      <c r="E272" s="53" t="s">
        <v>15</v>
      </c>
      <c r="F272" s="53" t="s">
        <v>15</v>
      </c>
      <c r="G272" s="53"/>
      <c r="H272" s="53" t="s">
        <v>466</v>
      </c>
      <c r="I272" s="53" t="s">
        <v>1731</v>
      </c>
      <c r="J272" s="53" t="s">
        <v>15</v>
      </c>
      <c r="K272" s="53" t="s">
        <v>1730</v>
      </c>
      <c r="L272" s="53" t="s">
        <v>15</v>
      </c>
      <c r="M272" s="53" t="s">
        <v>15</v>
      </c>
      <c r="N272" s="53" t="s">
        <v>15</v>
      </c>
      <c r="O272" s="53" t="s">
        <v>15</v>
      </c>
    </row>
    <row r="273" spans="1:15" x14ac:dyDescent="0.25">
      <c r="A273" s="52" t="s">
        <v>4519</v>
      </c>
      <c r="B273" s="54" t="str">
        <f t="shared" si="4"/>
        <v>IC,,MISC,74HC299,</v>
      </c>
      <c r="C273" s="53" t="s">
        <v>15</v>
      </c>
      <c r="D273" s="53" t="s">
        <v>15</v>
      </c>
      <c r="E273" s="53" t="s">
        <v>15</v>
      </c>
      <c r="F273" s="53" t="s">
        <v>15</v>
      </c>
      <c r="G273" s="53"/>
      <c r="H273" s="53" t="s">
        <v>466</v>
      </c>
      <c r="I273" s="53" t="s">
        <v>1732</v>
      </c>
      <c r="J273" s="53" t="s">
        <v>15</v>
      </c>
      <c r="K273" s="53" t="s">
        <v>1730</v>
      </c>
      <c r="L273" s="53" t="s">
        <v>15</v>
      </c>
      <c r="M273" s="53" t="s">
        <v>15</v>
      </c>
      <c r="N273" s="53" t="s">
        <v>15</v>
      </c>
      <c r="O273" s="53" t="s">
        <v>15</v>
      </c>
    </row>
    <row r="274" spans="1:15" x14ac:dyDescent="0.25">
      <c r="A274" s="52" t="s">
        <v>4520</v>
      </c>
      <c r="B274" s="54" t="str">
        <f t="shared" si="4"/>
        <v>IC,,MISC,74HC4538,</v>
      </c>
      <c r="C274" s="53" t="s">
        <v>15</v>
      </c>
      <c r="D274" s="53" t="s">
        <v>15</v>
      </c>
      <c r="E274" s="53" t="s">
        <v>15</v>
      </c>
      <c r="F274" s="53" t="s">
        <v>15</v>
      </c>
      <c r="G274" s="53"/>
      <c r="H274" s="53" t="s">
        <v>466</v>
      </c>
      <c r="I274" s="53" t="s">
        <v>1733</v>
      </c>
      <c r="J274" s="53" t="s">
        <v>15</v>
      </c>
      <c r="K274" s="53" t="s">
        <v>1734</v>
      </c>
      <c r="L274" s="53" t="s">
        <v>15</v>
      </c>
      <c r="M274" s="53" t="s">
        <v>15</v>
      </c>
      <c r="N274" s="53" t="s">
        <v>15</v>
      </c>
      <c r="O274" s="53" t="s">
        <v>15</v>
      </c>
    </row>
    <row r="275" spans="1:15" x14ac:dyDescent="0.25">
      <c r="A275" s="52" t="s">
        <v>4521</v>
      </c>
      <c r="B275" s="54" t="str">
        <f t="shared" si="4"/>
        <v>IC,,MISC,74HC4075,</v>
      </c>
      <c r="C275" s="53" t="s">
        <v>15</v>
      </c>
      <c r="D275" s="53" t="s">
        <v>15</v>
      </c>
      <c r="E275" s="53" t="s">
        <v>15</v>
      </c>
      <c r="F275" s="53" t="s">
        <v>15</v>
      </c>
      <c r="G275" s="53"/>
      <c r="H275" s="53" t="s">
        <v>466</v>
      </c>
      <c r="I275" s="53" t="s">
        <v>1735</v>
      </c>
      <c r="J275" s="53" t="s">
        <v>15</v>
      </c>
      <c r="K275" s="53" t="s">
        <v>1734</v>
      </c>
      <c r="L275" s="53" t="s">
        <v>15</v>
      </c>
      <c r="M275" s="53" t="s">
        <v>15</v>
      </c>
      <c r="N275" s="53" t="s">
        <v>15</v>
      </c>
      <c r="O275" s="53" t="s">
        <v>15</v>
      </c>
    </row>
    <row r="276" spans="1:15" x14ac:dyDescent="0.25">
      <c r="A276" s="52" t="s">
        <v>4522</v>
      </c>
      <c r="B276" s="54" t="str">
        <f t="shared" si="4"/>
        <v>IC,,MISC,74HC4040,</v>
      </c>
      <c r="C276" s="53" t="s">
        <v>15</v>
      </c>
      <c r="D276" s="53" t="s">
        <v>15</v>
      </c>
      <c r="E276" s="53" t="s">
        <v>15</v>
      </c>
      <c r="F276" s="53" t="s">
        <v>15</v>
      </c>
      <c r="G276" s="53"/>
      <c r="H276" s="53" t="s">
        <v>466</v>
      </c>
      <c r="I276" s="53" t="s">
        <v>1736</v>
      </c>
      <c r="J276" s="53" t="s">
        <v>15</v>
      </c>
      <c r="K276" s="53" t="s">
        <v>1734</v>
      </c>
      <c r="L276" s="53" t="s">
        <v>15</v>
      </c>
      <c r="M276" s="53" t="s">
        <v>15</v>
      </c>
      <c r="N276" s="53" t="s">
        <v>15</v>
      </c>
      <c r="O276" s="53" t="s">
        <v>15</v>
      </c>
    </row>
    <row r="277" spans="1:15" x14ac:dyDescent="0.25">
      <c r="A277" s="52" t="s">
        <v>4523</v>
      </c>
      <c r="B277" s="54" t="str">
        <f t="shared" si="4"/>
        <v>IC,,MISC,74HC4017,</v>
      </c>
      <c r="C277" s="53" t="s">
        <v>15</v>
      </c>
      <c r="D277" s="53" t="s">
        <v>15</v>
      </c>
      <c r="E277" s="53" t="s">
        <v>15</v>
      </c>
      <c r="F277" s="53" t="s">
        <v>15</v>
      </c>
      <c r="G277" s="53"/>
      <c r="H277" s="53" t="s">
        <v>466</v>
      </c>
      <c r="I277" s="53" t="s">
        <v>1737</v>
      </c>
      <c r="J277" s="53" t="s">
        <v>15</v>
      </c>
      <c r="K277" s="53" t="s">
        <v>1734</v>
      </c>
      <c r="L277" s="53" t="s">
        <v>15</v>
      </c>
      <c r="M277" s="53" t="s">
        <v>15</v>
      </c>
      <c r="N277" s="53" t="s">
        <v>15</v>
      </c>
      <c r="O277" s="53" t="s">
        <v>15</v>
      </c>
    </row>
    <row r="278" spans="1:15" x14ac:dyDescent="0.25">
      <c r="A278" s="52" t="s">
        <v>4524</v>
      </c>
      <c r="B278" s="54" t="str">
        <f t="shared" si="4"/>
        <v>IC,,MISC,74HC251,</v>
      </c>
      <c r="C278" s="53" t="s">
        <v>15</v>
      </c>
      <c r="D278" s="53" t="s">
        <v>15</v>
      </c>
      <c r="E278" s="53" t="s">
        <v>15</v>
      </c>
      <c r="F278" s="53" t="s">
        <v>15</v>
      </c>
      <c r="G278" s="53"/>
      <c r="H278" s="53" t="s">
        <v>466</v>
      </c>
      <c r="I278" s="53" t="s">
        <v>1738</v>
      </c>
      <c r="J278" s="53" t="s">
        <v>15</v>
      </c>
      <c r="K278" s="53" t="s">
        <v>1739</v>
      </c>
      <c r="L278" s="53" t="s">
        <v>15</v>
      </c>
      <c r="M278" s="53" t="s">
        <v>15</v>
      </c>
      <c r="N278" s="53" t="s">
        <v>15</v>
      </c>
      <c r="O278" s="53" t="s">
        <v>15</v>
      </c>
    </row>
    <row r="279" spans="1:15" x14ac:dyDescent="0.25">
      <c r="A279" s="52" t="s">
        <v>4525</v>
      </c>
      <c r="B279" s="54" t="str">
        <f t="shared" si="4"/>
        <v>IC,,MISC,74HC245,</v>
      </c>
      <c r="C279" s="53" t="s">
        <v>15</v>
      </c>
      <c r="D279" s="53" t="s">
        <v>15</v>
      </c>
      <c r="E279" s="53" t="s">
        <v>15</v>
      </c>
      <c r="F279" s="53" t="s">
        <v>15</v>
      </c>
      <c r="G279" s="53"/>
      <c r="H279" s="53" t="s">
        <v>466</v>
      </c>
      <c r="I279" s="53" t="s">
        <v>1710</v>
      </c>
      <c r="J279" s="53" t="s">
        <v>15</v>
      </c>
      <c r="K279" s="53" t="s">
        <v>1739</v>
      </c>
      <c r="L279" s="53" t="s">
        <v>15</v>
      </c>
      <c r="M279" s="53" t="s">
        <v>15</v>
      </c>
      <c r="N279" s="53" t="s">
        <v>15</v>
      </c>
      <c r="O279" s="53" t="s">
        <v>15</v>
      </c>
    </row>
    <row r="280" spans="1:15" x14ac:dyDescent="0.25">
      <c r="A280" s="52" t="s">
        <v>4526</v>
      </c>
      <c r="B280" s="54" t="str">
        <f t="shared" si="4"/>
        <v>IC,,MISC,74HC163,</v>
      </c>
      <c r="C280" s="53" t="s">
        <v>15</v>
      </c>
      <c r="D280" s="53" t="s">
        <v>15</v>
      </c>
      <c r="E280" s="53" t="s">
        <v>15</v>
      </c>
      <c r="F280" s="53" t="s">
        <v>15</v>
      </c>
      <c r="G280" s="53"/>
      <c r="H280" s="53" t="s">
        <v>466</v>
      </c>
      <c r="I280" s="53" t="s">
        <v>1740</v>
      </c>
      <c r="J280" s="53" t="s">
        <v>15</v>
      </c>
      <c r="K280" s="53" t="s">
        <v>1739</v>
      </c>
      <c r="L280" s="53" t="s">
        <v>15</v>
      </c>
      <c r="M280" s="53" t="s">
        <v>15</v>
      </c>
      <c r="N280" s="53" t="s">
        <v>15</v>
      </c>
      <c r="O280" s="53" t="s">
        <v>15</v>
      </c>
    </row>
    <row r="281" spans="1:15" x14ac:dyDescent="0.25">
      <c r="A281" s="52" t="s">
        <v>4527</v>
      </c>
      <c r="B281" s="54" t="str">
        <f t="shared" si="4"/>
        <v>IC,,MISC,74HC137,</v>
      </c>
      <c r="C281" s="53" t="s">
        <v>15</v>
      </c>
      <c r="D281" s="53" t="s">
        <v>15</v>
      </c>
      <c r="E281" s="53" t="s">
        <v>15</v>
      </c>
      <c r="F281" s="53" t="s">
        <v>15</v>
      </c>
      <c r="G281" s="53"/>
      <c r="H281" s="53" t="s">
        <v>466</v>
      </c>
      <c r="I281" s="53" t="s">
        <v>1741</v>
      </c>
      <c r="J281" s="53" t="s">
        <v>15</v>
      </c>
      <c r="K281" s="53" t="s">
        <v>1739</v>
      </c>
      <c r="L281" s="53" t="s">
        <v>15</v>
      </c>
      <c r="M281" s="53" t="s">
        <v>15</v>
      </c>
      <c r="N281" s="53" t="s">
        <v>15</v>
      </c>
      <c r="O281" s="53" t="s">
        <v>15</v>
      </c>
    </row>
    <row r="282" spans="1:15" x14ac:dyDescent="0.25">
      <c r="A282" s="52" t="s">
        <v>4528</v>
      </c>
      <c r="B282" s="54" t="str">
        <f t="shared" si="4"/>
        <v>IC,,MISC,74HC126,</v>
      </c>
      <c r="C282" s="53" t="s">
        <v>15</v>
      </c>
      <c r="D282" s="53" t="s">
        <v>15</v>
      </c>
      <c r="E282" s="53" t="s">
        <v>15</v>
      </c>
      <c r="F282" s="53" t="s">
        <v>15</v>
      </c>
      <c r="G282" s="53"/>
      <c r="H282" s="53" t="s">
        <v>466</v>
      </c>
      <c r="I282" s="53" t="s">
        <v>1742</v>
      </c>
      <c r="J282" s="53" t="s">
        <v>15</v>
      </c>
      <c r="K282" s="53" t="s">
        <v>1743</v>
      </c>
      <c r="L282" s="53" t="s">
        <v>15</v>
      </c>
      <c r="M282" s="53" t="s">
        <v>15</v>
      </c>
      <c r="N282" s="53" t="s">
        <v>15</v>
      </c>
      <c r="O282" s="53" t="s">
        <v>15</v>
      </c>
    </row>
    <row r="283" spans="1:15" x14ac:dyDescent="0.25">
      <c r="A283" s="52" t="s">
        <v>4529</v>
      </c>
      <c r="B283" s="54" t="str">
        <f t="shared" si="4"/>
        <v>IC,,MISC,74HC240,DIP20</v>
      </c>
      <c r="C283" s="53" t="s">
        <v>15</v>
      </c>
      <c r="D283" s="53" t="s">
        <v>15</v>
      </c>
      <c r="E283" s="53" t="s">
        <v>15</v>
      </c>
      <c r="F283" s="53" t="s">
        <v>15</v>
      </c>
      <c r="G283" s="53"/>
      <c r="H283" s="53" t="s">
        <v>466</v>
      </c>
      <c r="I283" s="53" t="s">
        <v>1744</v>
      </c>
      <c r="J283" s="53" t="s">
        <v>440</v>
      </c>
      <c r="K283" s="53" t="s">
        <v>1743</v>
      </c>
      <c r="L283" s="53" t="s">
        <v>15</v>
      </c>
      <c r="M283" s="53" t="s">
        <v>15</v>
      </c>
      <c r="N283" s="53" t="s">
        <v>15</v>
      </c>
      <c r="O283" s="53" t="s">
        <v>15</v>
      </c>
    </row>
    <row r="284" spans="1:15" x14ac:dyDescent="0.25">
      <c r="A284" s="52" t="s">
        <v>4530</v>
      </c>
      <c r="B284" s="54" t="str">
        <f t="shared" si="4"/>
        <v>IC,,MISC,74HC125,</v>
      </c>
      <c r="C284" s="53" t="s">
        <v>15</v>
      </c>
      <c r="D284" s="53" t="s">
        <v>15</v>
      </c>
      <c r="E284" s="53" t="s">
        <v>15</v>
      </c>
      <c r="F284" s="53" t="s">
        <v>15</v>
      </c>
      <c r="G284" s="53"/>
      <c r="H284" s="53" t="s">
        <v>466</v>
      </c>
      <c r="I284" s="53" t="s">
        <v>1745</v>
      </c>
      <c r="J284" s="53" t="s">
        <v>15</v>
      </c>
      <c r="K284" s="53" t="s">
        <v>1743</v>
      </c>
      <c r="L284" s="53" t="s">
        <v>15</v>
      </c>
      <c r="M284" s="53" t="s">
        <v>15</v>
      </c>
      <c r="N284" s="53" t="s">
        <v>15</v>
      </c>
      <c r="O284" s="53" t="s">
        <v>15</v>
      </c>
    </row>
    <row r="285" spans="1:15" x14ac:dyDescent="0.25">
      <c r="A285" s="52" t="s">
        <v>4531</v>
      </c>
      <c r="B285" s="54" t="str">
        <f t="shared" si="4"/>
        <v>IC,,MISC,74HC123,</v>
      </c>
      <c r="C285" s="53" t="s">
        <v>15</v>
      </c>
      <c r="D285" s="53" t="s">
        <v>15</v>
      </c>
      <c r="E285" s="53" t="s">
        <v>15</v>
      </c>
      <c r="F285" s="53" t="s">
        <v>15</v>
      </c>
      <c r="G285" s="53"/>
      <c r="H285" s="53" t="s">
        <v>466</v>
      </c>
      <c r="I285" s="53" t="s">
        <v>1746</v>
      </c>
      <c r="J285" s="53" t="s">
        <v>15</v>
      </c>
      <c r="K285" s="53" t="s">
        <v>1743</v>
      </c>
      <c r="L285" s="53" t="s">
        <v>15</v>
      </c>
      <c r="M285" s="53" t="s">
        <v>15</v>
      </c>
      <c r="N285" s="53" t="s">
        <v>15</v>
      </c>
      <c r="O285" s="53" t="s">
        <v>15</v>
      </c>
    </row>
    <row r="286" spans="1:15" x14ac:dyDescent="0.25">
      <c r="A286" s="52" t="s">
        <v>4532</v>
      </c>
      <c r="B286" s="54" t="str">
        <f t="shared" si="4"/>
        <v>IC,,MISC,74HC368,</v>
      </c>
      <c r="C286" s="53" t="s">
        <v>15</v>
      </c>
      <c r="D286" s="53" t="s">
        <v>15</v>
      </c>
      <c r="E286" s="53" t="s">
        <v>15</v>
      </c>
      <c r="F286" s="53" t="s">
        <v>15</v>
      </c>
      <c r="G286" s="53"/>
      <c r="H286" s="53" t="s">
        <v>466</v>
      </c>
      <c r="I286" s="53" t="s">
        <v>1747</v>
      </c>
      <c r="J286" s="53" t="s">
        <v>15</v>
      </c>
      <c r="K286" s="53" t="s">
        <v>1748</v>
      </c>
      <c r="L286" s="53" t="s">
        <v>15</v>
      </c>
      <c r="M286" s="53" t="s">
        <v>15</v>
      </c>
      <c r="N286" s="53" t="s">
        <v>15</v>
      </c>
      <c r="O286" s="53" t="s">
        <v>15</v>
      </c>
    </row>
    <row r="287" spans="1:15" x14ac:dyDescent="0.25">
      <c r="A287" s="52" t="s">
        <v>4533</v>
      </c>
      <c r="B287" s="54" t="str">
        <f t="shared" si="4"/>
        <v>IC,,MISC,74HC279,</v>
      </c>
      <c r="C287" s="53" t="s">
        <v>15</v>
      </c>
      <c r="D287" s="53" t="s">
        <v>15</v>
      </c>
      <c r="E287" s="53" t="s">
        <v>15</v>
      </c>
      <c r="F287" s="53" t="s">
        <v>15</v>
      </c>
      <c r="G287" s="53"/>
      <c r="H287" s="53" t="s">
        <v>466</v>
      </c>
      <c r="I287" s="53" t="s">
        <v>1749</v>
      </c>
      <c r="J287" s="53" t="s">
        <v>15</v>
      </c>
      <c r="K287" s="53" t="s">
        <v>1748</v>
      </c>
      <c r="L287" s="53" t="s">
        <v>15</v>
      </c>
      <c r="M287" s="53" t="s">
        <v>15</v>
      </c>
      <c r="N287" s="53" t="s">
        <v>15</v>
      </c>
      <c r="O287" s="53" t="s">
        <v>15</v>
      </c>
    </row>
    <row r="288" spans="1:15" x14ac:dyDescent="0.25">
      <c r="A288" s="52" t="s">
        <v>4534</v>
      </c>
      <c r="B288" s="54" t="str">
        <f t="shared" si="4"/>
        <v>IC,,MISC,74F569,</v>
      </c>
      <c r="C288" s="53" t="s">
        <v>15</v>
      </c>
      <c r="D288" s="53" t="s">
        <v>15</v>
      </c>
      <c r="E288" s="53" t="s">
        <v>15</v>
      </c>
      <c r="F288" s="53" t="s">
        <v>15</v>
      </c>
      <c r="G288" s="53"/>
      <c r="H288" s="53" t="s">
        <v>466</v>
      </c>
      <c r="I288" s="53" t="s">
        <v>1750</v>
      </c>
      <c r="J288" s="53" t="s">
        <v>15</v>
      </c>
      <c r="K288" s="53" t="s">
        <v>1748</v>
      </c>
      <c r="L288" s="53" t="s">
        <v>15</v>
      </c>
      <c r="M288" s="53" t="s">
        <v>15</v>
      </c>
      <c r="N288" s="53" t="s">
        <v>15</v>
      </c>
      <c r="O288" s="53" t="s">
        <v>15</v>
      </c>
    </row>
    <row r="289" spans="1:15" x14ac:dyDescent="0.25">
      <c r="A289" s="52" t="s">
        <v>4535</v>
      </c>
      <c r="B289" s="54" t="str">
        <f t="shared" si="4"/>
        <v>IC,,MISC,74HC266,</v>
      </c>
      <c r="C289" s="53" t="s">
        <v>15</v>
      </c>
      <c r="D289" s="53" t="s">
        <v>15</v>
      </c>
      <c r="E289" s="53" t="s">
        <v>15</v>
      </c>
      <c r="F289" s="53" t="s">
        <v>15</v>
      </c>
      <c r="G289" s="53"/>
      <c r="H289" s="53" t="s">
        <v>466</v>
      </c>
      <c r="I289" s="53" t="s">
        <v>1751</v>
      </c>
      <c r="J289" s="53" t="s">
        <v>15</v>
      </c>
      <c r="K289" s="53" t="s">
        <v>1748</v>
      </c>
      <c r="L289" s="53" t="s">
        <v>15</v>
      </c>
      <c r="M289" s="53" t="s">
        <v>15</v>
      </c>
      <c r="N289" s="53" t="s">
        <v>15</v>
      </c>
      <c r="O289" s="53" t="s">
        <v>15</v>
      </c>
    </row>
    <row r="290" spans="1:15" x14ac:dyDescent="0.25">
      <c r="A290" s="52" t="s">
        <v>4536</v>
      </c>
      <c r="B290" s="54" t="str">
        <f t="shared" si="4"/>
        <v>IC,,MISC,74HC191,</v>
      </c>
      <c r="C290" s="53" t="s">
        <v>15</v>
      </c>
      <c r="D290" s="53" t="s">
        <v>15</v>
      </c>
      <c r="E290" s="53" t="s">
        <v>15</v>
      </c>
      <c r="F290" s="53" t="s">
        <v>15</v>
      </c>
      <c r="G290" s="53"/>
      <c r="H290" s="53" t="s">
        <v>466</v>
      </c>
      <c r="I290" s="53" t="s">
        <v>1752</v>
      </c>
      <c r="J290" s="53" t="s">
        <v>15</v>
      </c>
      <c r="K290" s="53" t="s">
        <v>15</v>
      </c>
      <c r="L290" s="53" t="s">
        <v>15</v>
      </c>
      <c r="M290" s="53" t="s">
        <v>15</v>
      </c>
      <c r="N290" s="53" t="s">
        <v>15</v>
      </c>
      <c r="O290" s="53" t="s">
        <v>15</v>
      </c>
    </row>
    <row r="291" spans="1:15" x14ac:dyDescent="0.25">
      <c r="A291" s="52" t="s">
        <v>4537</v>
      </c>
      <c r="B291" s="54" t="str">
        <f t="shared" si="4"/>
        <v>IC,,MISC,74HC148,</v>
      </c>
      <c r="C291" s="53" t="s">
        <v>15</v>
      </c>
      <c r="D291" s="53" t="s">
        <v>15</v>
      </c>
      <c r="E291" s="53" t="s">
        <v>15</v>
      </c>
      <c r="F291" s="53" t="s">
        <v>15</v>
      </c>
      <c r="G291" s="53"/>
      <c r="H291" s="53" t="s">
        <v>466</v>
      </c>
      <c r="I291" s="53" t="s">
        <v>1753</v>
      </c>
      <c r="J291" s="53" t="s">
        <v>15</v>
      </c>
      <c r="K291" s="53" t="s">
        <v>15</v>
      </c>
      <c r="L291" s="53" t="s">
        <v>15</v>
      </c>
      <c r="M291" s="53" t="s">
        <v>15</v>
      </c>
      <c r="N291" s="53" t="s">
        <v>15</v>
      </c>
      <c r="O291" s="53" t="s">
        <v>15</v>
      </c>
    </row>
    <row r="292" spans="1:15" x14ac:dyDescent="0.25">
      <c r="A292" s="52" t="s">
        <v>4538</v>
      </c>
      <c r="B292" s="54" t="str">
        <f t="shared" si="4"/>
        <v>IC,,MISC,74F374,</v>
      </c>
      <c r="C292" s="53" t="s">
        <v>15</v>
      </c>
      <c r="D292" s="53" t="s">
        <v>15</v>
      </c>
      <c r="E292" s="53" t="s">
        <v>15</v>
      </c>
      <c r="F292" s="53" t="s">
        <v>15</v>
      </c>
      <c r="G292" s="53"/>
      <c r="H292" s="53" t="s">
        <v>466</v>
      </c>
      <c r="I292" s="53" t="s">
        <v>1754</v>
      </c>
      <c r="J292" s="53" t="s">
        <v>15</v>
      </c>
      <c r="K292" s="53" t="s">
        <v>15</v>
      </c>
      <c r="L292" s="53" t="s">
        <v>15</v>
      </c>
      <c r="M292" s="53" t="s">
        <v>15</v>
      </c>
      <c r="N292" s="53" t="s">
        <v>15</v>
      </c>
      <c r="O292" s="53" t="s">
        <v>15</v>
      </c>
    </row>
    <row r="293" spans="1:15" x14ac:dyDescent="0.25">
      <c r="A293" s="52" t="s">
        <v>4539</v>
      </c>
      <c r="B293" s="54" t="str">
        <f t="shared" si="4"/>
        <v>IC,,MISC,74F381,</v>
      </c>
      <c r="C293" s="53" t="s">
        <v>15</v>
      </c>
      <c r="D293" s="53" t="s">
        <v>15</v>
      </c>
      <c r="E293" s="53" t="s">
        <v>15</v>
      </c>
      <c r="F293" s="53" t="s">
        <v>15</v>
      </c>
      <c r="G293" s="53"/>
      <c r="H293" s="53" t="s">
        <v>466</v>
      </c>
      <c r="I293" s="53" t="s">
        <v>1755</v>
      </c>
      <c r="J293" s="53" t="s">
        <v>15</v>
      </c>
      <c r="K293" s="53" t="s">
        <v>15</v>
      </c>
      <c r="L293" s="53" t="s">
        <v>15</v>
      </c>
      <c r="M293" s="53" t="s">
        <v>15</v>
      </c>
      <c r="N293" s="53" t="s">
        <v>15</v>
      </c>
      <c r="O293" s="53" t="s">
        <v>15</v>
      </c>
    </row>
    <row r="294" spans="1:15" x14ac:dyDescent="0.25">
      <c r="A294" s="52" t="s">
        <v>4540</v>
      </c>
      <c r="B294" s="54" t="str">
        <f t="shared" si="4"/>
        <v>IC,,MISC,74F373,</v>
      </c>
      <c r="C294" s="53" t="s">
        <v>15</v>
      </c>
      <c r="D294" s="53" t="s">
        <v>15</v>
      </c>
      <c r="E294" s="53" t="s">
        <v>15</v>
      </c>
      <c r="F294" s="53" t="s">
        <v>15</v>
      </c>
      <c r="G294" s="53"/>
      <c r="H294" s="53" t="s">
        <v>466</v>
      </c>
      <c r="I294" s="53" t="s">
        <v>1756</v>
      </c>
      <c r="J294" s="53" t="s">
        <v>15</v>
      </c>
      <c r="K294" s="53" t="s">
        <v>15</v>
      </c>
      <c r="L294" s="53" t="s">
        <v>15</v>
      </c>
      <c r="M294" s="53" t="s">
        <v>15</v>
      </c>
      <c r="N294" s="53" t="s">
        <v>15</v>
      </c>
      <c r="O294" s="53" t="s">
        <v>15</v>
      </c>
    </row>
    <row r="295" spans="1:15" x14ac:dyDescent="0.25">
      <c r="A295" s="52" t="s">
        <v>4541</v>
      </c>
      <c r="B295" s="54" t="str">
        <f t="shared" si="4"/>
        <v>IC,,MISC,74F569,</v>
      </c>
      <c r="C295" s="53" t="s">
        <v>15</v>
      </c>
      <c r="D295" s="53" t="s">
        <v>15</v>
      </c>
      <c r="E295" s="53" t="s">
        <v>15</v>
      </c>
      <c r="F295" s="53" t="s">
        <v>15</v>
      </c>
      <c r="G295" s="53"/>
      <c r="H295" s="53" t="s">
        <v>466</v>
      </c>
      <c r="I295" s="53" t="s">
        <v>1750</v>
      </c>
      <c r="J295" s="53" t="s">
        <v>15</v>
      </c>
      <c r="K295" s="53" t="s">
        <v>15</v>
      </c>
      <c r="L295" s="53" t="s">
        <v>15</v>
      </c>
      <c r="M295" s="53" t="s">
        <v>15</v>
      </c>
      <c r="N295" s="53" t="s">
        <v>15</v>
      </c>
      <c r="O295" s="53" t="s">
        <v>15</v>
      </c>
    </row>
    <row r="296" spans="1:15" x14ac:dyDescent="0.25">
      <c r="A296" s="52" t="s">
        <v>4542</v>
      </c>
      <c r="B296" s="54" t="str">
        <f t="shared" si="4"/>
        <v>IC,,MISC,74F579,</v>
      </c>
      <c r="C296" s="53" t="s">
        <v>15</v>
      </c>
      <c r="D296" s="53" t="s">
        <v>15</v>
      </c>
      <c r="E296" s="53" t="s">
        <v>15</v>
      </c>
      <c r="F296" s="53" t="s">
        <v>15</v>
      </c>
      <c r="G296" s="53"/>
      <c r="H296" s="53" t="s">
        <v>466</v>
      </c>
      <c r="I296" s="53" t="s">
        <v>1757</v>
      </c>
      <c r="J296" s="53" t="s">
        <v>15</v>
      </c>
      <c r="K296" s="53" t="s">
        <v>15</v>
      </c>
      <c r="L296" s="53" t="s">
        <v>15</v>
      </c>
      <c r="M296" s="53" t="s">
        <v>15</v>
      </c>
      <c r="N296" s="53" t="s">
        <v>15</v>
      </c>
      <c r="O296" s="53" t="s">
        <v>15</v>
      </c>
    </row>
    <row r="297" spans="1:15" x14ac:dyDescent="0.25">
      <c r="A297" s="52" t="s">
        <v>4543</v>
      </c>
      <c r="B297" s="54" t="str">
        <f t="shared" si="4"/>
        <v>IC,,MISC,74F379,</v>
      </c>
      <c r="C297" s="53" t="s">
        <v>15</v>
      </c>
      <c r="D297" s="53" t="s">
        <v>15</v>
      </c>
      <c r="E297" s="53" t="s">
        <v>15</v>
      </c>
      <c r="F297" s="53" t="s">
        <v>15</v>
      </c>
      <c r="G297" s="53"/>
      <c r="H297" s="53" t="s">
        <v>466</v>
      </c>
      <c r="I297" s="53" t="s">
        <v>1758</v>
      </c>
      <c r="J297" s="53" t="s">
        <v>15</v>
      </c>
      <c r="K297" s="53" t="s">
        <v>15</v>
      </c>
      <c r="L297" s="53" t="s">
        <v>15</v>
      </c>
      <c r="M297" s="53" t="s">
        <v>15</v>
      </c>
      <c r="N297" s="53" t="s">
        <v>15</v>
      </c>
      <c r="O297" s="53" t="s">
        <v>15</v>
      </c>
    </row>
    <row r="298" spans="1:15" x14ac:dyDescent="0.25">
      <c r="A298" s="52" t="s">
        <v>4544</v>
      </c>
      <c r="B298" s="54" t="str">
        <f t="shared" si="4"/>
        <v>IC,,MISC,74LS74,</v>
      </c>
      <c r="C298" s="53" t="s">
        <v>15</v>
      </c>
      <c r="D298" s="53" t="s">
        <v>15</v>
      </c>
      <c r="E298" s="53" t="s">
        <v>15</v>
      </c>
      <c r="F298" s="53" t="s">
        <v>15</v>
      </c>
      <c r="G298" s="53"/>
      <c r="H298" s="53" t="s">
        <v>466</v>
      </c>
      <c r="I298" s="53" t="s">
        <v>1759</v>
      </c>
      <c r="J298" s="53" t="s">
        <v>15</v>
      </c>
      <c r="K298" s="53" t="s">
        <v>15</v>
      </c>
      <c r="L298" s="53" t="s">
        <v>15</v>
      </c>
      <c r="M298" s="53" t="s">
        <v>15</v>
      </c>
      <c r="N298" s="53" t="s">
        <v>15</v>
      </c>
      <c r="O298" s="53" t="s">
        <v>15</v>
      </c>
    </row>
    <row r="299" spans="1:15" x14ac:dyDescent="0.25">
      <c r="A299" s="52" t="s">
        <v>4545</v>
      </c>
      <c r="B299" s="54" t="str">
        <f t="shared" si="4"/>
        <v>IC,,MINI CIRCUITS,MCL T4-2,DIP6</v>
      </c>
      <c r="C299" s="53" t="s">
        <v>15</v>
      </c>
      <c r="D299" s="53" t="s">
        <v>15</v>
      </c>
      <c r="E299" s="53" t="s">
        <v>15</v>
      </c>
      <c r="F299" s="53" t="s">
        <v>15</v>
      </c>
      <c r="G299" s="53"/>
      <c r="H299" s="53" t="s">
        <v>1760</v>
      </c>
      <c r="I299" s="53" t="s">
        <v>1761</v>
      </c>
      <c r="J299" s="53" t="s">
        <v>1762</v>
      </c>
      <c r="K299" s="53" t="s">
        <v>15</v>
      </c>
      <c r="L299" s="53" t="s">
        <v>15</v>
      </c>
      <c r="M299" s="53" t="s">
        <v>15</v>
      </c>
      <c r="N299" s="53" t="s">
        <v>15</v>
      </c>
      <c r="O299" s="53" t="s">
        <v>15</v>
      </c>
    </row>
    <row r="300" spans="1:15" x14ac:dyDescent="0.25">
      <c r="A300" s="52" t="s">
        <v>4546</v>
      </c>
      <c r="B300" s="54" t="str">
        <f t="shared" si="4"/>
        <v>IC,,MINI CIRCUITS,MCL T1-6T,DIP6</v>
      </c>
      <c r="C300" s="53" t="s">
        <v>15</v>
      </c>
      <c r="D300" s="53" t="s">
        <v>15</v>
      </c>
      <c r="E300" s="53" t="s">
        <v>15</v>
      </c>
      <c r="F300" s="53" t="s">
        <v>15</v>
      </c>
      <c r="G300" s="53"/>
      <c r="H300" s="53" t="s">
        <v>1760</v>
      </c>
      <c r="I300" s="53" t="s">
        <v>1763</v>
      </c>
      <c r="J300" s="53" t="s">
        <v>1762</v>
      </c>
      <c r="K300" s="53" t="s">
        <v>15</v>
      </c>
      <c r="L300" s="53" t="s">
        <v>15</v>
      </c>
      <c r="M300" s="53" t="s">
        <v>15</v>
      </c>
      <c r="N300" s="53" t="s">
        <v>15</v>
      </c>
      <c r="O300" s="53" t="s">
        <v>15</v>
      </c>
    </row>
    <row r="301" spans="1:15" x14ac:dyDescent="0.25">
      <c r="A301" s="52" t="s">
        <v>4547</v>
      </c>
      <c r="B301" s="54" t="str">
        <f t="shared" si="4"/>
        <v>IC,,MINI CIRCUITS,MCL Y1-6T,DIP6</v>
      </c>
      <c r="C301" s="53" t="s">
        <v>15</v>
      </c>
      <c r="D301" s="53" t="s">
        <v>15</v>
      </c>
      <c r="E301" s="53" t="s">
        <v>15</v>
      </c>
      <c r="F301" s="53" t="s">
        <v>15</v>
      </c>
      <c r="G301" s="53"/>
      <c r="H301" s="53" t="s">
        <v>1760</v>
      </c>
      <c r="I301" s="53" t="s">
        <v>1764</v>
      </c>
      <c r="J301" s="53" t="s">
        <v>1762</v>
      </c>
      <c r="K301" s="53" t="s">
        <v>15</v>
      </c>
      <c r="L301" s="53" t="s">
        <v>15</v>
      </c>
      <c r="M301" s="53" t="s">
        <v>15</v>
      </c>
      <c r="N301" s="53" t="s">
        <v>15</v>
      </c>
      <c r="O301" s="53" t="s">
        <v>15</v>
      </c>
    </row>
    <row r="302" spans="1:15" x14ac:dyDescent="0.25">
      <c r="A302" s="52" t="s">
        <v>4548</v>
      </c>
      <c r="B302" s="54" t="str">
        <f t="shared" si="4"/>
        <v>IC,,MINI CIRCUITS,MCL T8-1,DIP6</v>
      </c>
      <c r="C302" s="53" t="s">
        <v>15</v>
      </c>
      <c r="D302" s="53" t="s">
        <v>15</v>
      </c>
      <c r="E302" s="53" t="s">
        <v>15</v>
      </c>
      <c r="F302" s="53" t="s">
        <v>15</v>
      </c>
      <c r="G302" s="53"/>
      <c r="H302" s="53" t="s">
        <v>1760</v>
      </c>
      <c r="I302" s="53" t="s">
        <v>1765</v>
      </c>
      <c r="J302" s="53" t="s">
        <v>1762</v>
      </c>
      <c r="K302" s="53" t="s">
        <v>15</v>
      </c>
      <c r="L302" s="53" t="s">
        <v>15</v>
      </c>
      <c r="M302" s="53" t="s">
        <v>15</v>
      </c>
      <c r="N302" s="53" t="s">
        <v>15</v>
      </c>
      <c r="O302" s="53" t="s">
        <v>15</v>
      </c>
    </row>
    <row r="303" spans="1:15" x14ac:dyDescent="0.25">
      <c r="A303" s="52" t="s">
        <v>4549</v>
      </c>
      <c r="B303" s="54" t="str">
        <f t="shared" si="4"/>
        <v>IC,MICROCONTROLLER,ATMEL,AT89C251,</v>
      </c>
      <c r="C303" s="53" t="s">
        <v>15</v>
      </c>
      <c r="D303" s="53" t="s">
        <v>15</v>
      </c>
      <c r="E303" s="53" t="s">
        <v>15</v>
      </c>
      <c r="F303" s="53" t="s">
        <v>15</v>
      </c>
      <c r="G303" s="53" t="s">
        <v>1239</v>
      </c>
      <c r="H303" s="53" t="s">
        <v>1236</v>
      </c>
      <c r="I303" s="53" t="s">
        <v>1766</v>
      </c>
      <c r="J303" s="53" t="s">
        <v>15</v>
      </c>
      <c r="K303" s="53" t="s">
        <v>1767</v>
      </c>
      <c r="L303" s="53" t="s">
        <v>15</v>
      </c>
      <c r="M303" s="53" t="s">
        <v>15</v>
      </c>
      <c r="N303" s="53" t="s">
        <v>15</v>
      </c>
      <c r="O303" s="53" t="s">
        <v>15</v>
      </c>
    </row>
    <row r="304" spans="1:15" x14ac:dyDescent="0.25">
      <c r="A304" s="52" t="s">
        <v>4550</v>
      </c>
      <c r="B304" s="54" t="str">
        <f t="shared" si="4"/>
        <v>IC,MICROCONTROLLER,ATMEL,AT89C8252,</v>
      </c>
      <c r="C304" s="53" t="s">
        <v>15</v>
      </c>
      <c r="D304" s="53" t="s">
        <v>15</v>
      </c>
      <c r="E304" s="53" t="s">
        <v>15</v>
      </c>
      <c r="F304" s="53" t="s">
        <v>15</v>
      </c>
      <c r="G304" s="53" t="s">
        <v>1239</v>
      </c>
      <c r="H304" s="53" t="s">
        <v>1236</v>
      </c>
      <c r="I304" s="53" t="s">
        <v>1768</v>
      </c>
      <c r="J304" s="53" t="s">
        <v>15</v>
      </c>
      <c r="K304" s="53" t="s">
        <v>1769</v>
      </c>
      <c r="L304" s="53" t="s">
        <v>15</v>
      </c>
      <c r="M304" s="53" t="s">
        <v>15</v>
      </c>
      <c r="N304" s="53" t="s">
        <v>15</v>
      </c>
      <c r="O304" s="53" t="s">
        <v>15</v>
      </c>
    </row>
    <row r="305" spans="1:15" x14ac:dyDescent="0.25">
      <c r="A305" s="52" t="s">
        <v>4551</v>
      </c>
      <c r="B305" s="54" t="str">
        <f t="shared" si="4"/>
        <v>IC,MICROCONTROLLER,NXP,87C52,DIP40</v>
      </c>
      <c r="C305" s="53" t="s">
        <v>15</v>
      </c>
      <c r="D305" s="53" t="s">
        <v>15</v>
      </c>
      <c r="E305" s="53" t="s">
        <v>15</v>
      </c>
      <c r="F305" s="53" t="s">
        <v>15</v>
      </c>
      <c r="G305" s="53" t="s">
        <v>1239</v>
      </c>
      <c r="H305" s="53" t="s">
        <v>699</v>
      </c>
      <c r="I305" s="53" t="s">
        <v>1770</v>
      </c>
      <c r="J305" s="53" t="s">
        <v>1771</v>
      </c>
      <c r="K305" s="53" t="s">
        <v>1772</v>
      </c>
      <c r="L305" s="53" t="s">
        <v>15</v>
      </c>
      <c r="M305" s="53" t="s">
        <v>15</v>
      </c>
      <c r="N305" s="53" t="s">
        <v>15</v>
      </c>
      <c r="O305" s="53" t="s">
        <v>15</v>
      </c>
    </row>
    <row r="306" spans="1:15" x14ac:dyDescent="0.25">
      <c r="A306" s="52" t="s">
        <v>4552</v>
      </c>
      <c r="B306" s="54" t="str">
        <f t="shared" si="4"/>
        <v>IC,MICROCONTROLLER,NXP,87C528,DIP40</v>
      </c>
      <c r="C306" s="53" t="s">
        <v>15</v>
      </c>
      <c r="D306" s="53" t="s">
        <v>15</v>
      </c>
      <c r="E306" s="53" t="s">
        <v>15</v>
      </c>
      <c r="F306" s="53" t="s">
        <v>15</v>
      </c>
      <c r="G306" s="53" t="s">
        <v>1239</v>
      </c>
      <c r="H306" s="53" t="s">
        <v>699</v>
      </c>
      <c r="I306" s="53" t="s">
        <v>1773</v>
      </c>
      <c r="J306" s="53" t="s">
        <v>1771</v>
      </c>
      <c r="K306" s="53" t="s">
        <v>1772</v>
      </c>
      <c r="L306" s="53" t="s">
        <v>15</v>
      </c>
      <c r="M306" s="53" t="s">
        <v>15</v>
      </c>
      <c r="N306" s="53" t="s">
        <v>15</v>
      </c>
      <c r="O306" s="53" t="s">
        <v>15</v>
      </c>
    </row>
    <row r="307" spans="1:15" x14ac:dyDescent="0.25">
      <c r="A307" s="52" t="s">
        <v>4553</v>
      </c>
      <c r="B307" s="54" t="str">
        <f t="shared" si="4"/>
        <v>IC,MICROCONTROLLER,ATMEL,89LV51,DIP40</v>
      </c>
      <c r="C307" s="53" t="s">
        <v>15</v>
      </c>
      <c r="D307" s="53" t="s">
        <v>15</v>
      </c>
      <c r="E307" s="53" t="s">
        <v>15</v>
      </c>
      <c r="F307" s="53" t="s">
        <v>15</v>
      </c>
      <c r="G307" s="53" t="s">
        <v>1239</v>
      </c>
      <c r="H307" s="53" t="s">
        <v>1236</v>
      </c>
      <c r="I307" s="53" t="s">
        <v>1774</v>
      </c>
      <c r="J307" s="53" t="s">
        <v>1771</v>
      </c>
      <c r="K307" s="53" t="s">
        <v>1775</v>
      </c>
      <c r="L307" s="53" t="s">
        <v>15</v>
      </c>
      <c r="M307" s="53" t="s">
        <v>15</v>
      </c>
      <c r="N307" s="53" t="s">
        <v>15</v>
      </c>
      <c r="O307" s="53" t="s">
        <v>15</v>
      </c>
    </row>
    <row r="308" spans="1:15" x14ac:dyDescent="0.25">
      <c r="A308" s="52" t="s">
        <v>4554</v>
      </c>
      <c r="B308" s="54" t="str">
        <f t="shared" si="4"/>
        <v>IC,MICROCONTROLLER,ATMEL,89C52,DIP40</v>
      </c>
      <c r="C308" s="53" t="s">
        <v>15</v>
      </c>
      <c r="D308" s="53" t="s">
        <v>15</v>
      </c>
      <c r="E308" s="53" t="s">
        <v>15</v>
      </c>
      <c r="F308" s="53" t="s">
        <v>15</v>
      </c>
      <c r="G308" s="53" t="s">
        <v>1239</v>
      </c>
      <c r="H308" s="53" t="s">
        <v>1236</v>
      </c>
      <c r="I308" s="53" t="s">
        <v>1776</v>
      </c>
      <c r="J308" s="53" t="s">
        <v>1771</v>
      </c>
      <c r="K308" s="53" t="s">
        <v>1775</v>
      </c>
      <c r="L308" s="53" t="s">
        <v>15</v>
      </c>
      <c r="M308" s="53" t="s">
        <v>15</v>
      </c>
      <c r="N308" s="53" t="s">
        <v>15</v>
      </c>
      <c r="O308" s="53" t="s">
        <v>15</v>
      </c>
    </row>
    <row r="309" spans="1:15" x14ac:dyDescent="0.25">
      <c r="A309" s="52" t="s">
        <v>4555</v>
      </c>
      <c r="B309" s="54" t="str">
        <f t="shared" si="4"/>
        <v>IC,MICROCONTROLLER,DALLAS,DS5000T,DIP40</v>
      </c>
      <c r="C309" s="53" t="s">
        <v>15</v>
      </c>
      <c r="D309" s="53" t="s">
        <v>15</v>
      </c>
      <c r="E309" s="53" t="s">
        <v>15</v>
      </c>
      <c r="F309" s="53" t="s">
        <v>15</v>
      </c>
      <c r="G309" s="53" t="s">
        <v>1239</v>
      </c>
      <c r="H309" s="53" t="s">
        <v>1777</v>
      </c>
      <c r="I309" s="53" t="s">
        <v>1778</v>
      </c>
      <c r="J309" s="53" t="s">
        <v>1771</v>
      </c>
      <c r="K309" s="53" t="s">
        <v>1779</v>
      </c>
      <c r="L309" s="53" t="s">
        <v>15</v>
      </c>
      <c r="M309" s="53" t="s">
        <v>15</v>
      </c>
      <c r="N309" s="53" t="s">
        <v>15</v>
      </c>
      <c r="O309" s="53" t="s">
        <v>15</v>
      </c>
    </row>
    <row r="310" spans="1:15" x14ac:dyDescent="0.25">
      <c r="A310" s="52" t="s">
        <v>4556</v>
      </c>
      <c r="B310" s="54" t="str">
        <f t="shared" si="4"/>
        <v>IC,MEMORY,EPROM,PARALLEL,ST,27C1024,DIP40</v>
      </c>
      <c r="C310" s="53" t="s">
        <v>15</v>
      </c>
      <c r="D310" s="53" t="s">
        <v>15</v>
      </c>
      <c r="E310" s="53" t="s">
        <v>15</v>
      </c>
      <c r="F310" s="53" t="s">
        <v>15</v>
      </c>
      <c r="G310" s="53" t="s">
        <v>4969</v>
      </c>
      <c r="H310" s="53" t="s">
        <v>807</v>
      </c>
      <c r="I310" s="53" t="s">
        <v>1780</v>
      </c>
      <c r="J310" s="53" t="s">
        <v>1771</v>
      </c>
      <c r="K310" s="53" t="s">
        <v>1779</v>
      </c>
      <c r="L310" s="53" t="s">
        <v>15</v>
      </c>
      <c r="M310" s="53" t="s">
        <v>15</v>
      </c>
      <c r="N310" s="53" t="s">
        <v>15</v>
      </c>
      <c r="O310" s="53" t="s">
        <v>15</v>
      </c>
    </row>
    <row r="311" spans="1:15" x14ac:dyDescent="0.25">
      <c r="A311" s="52" t="s">
        <v>4557</v>
      </c>
      <c r="B311" s="54" t="str">
        <f t="shared" si="4"/>
        <v>IC,MEMORY,EPROM,PARALLEL,ST,27C2048,DIP40</v>
      </c>
      <c r="C311" s="53" t="s">
        <v>15</v>
      </c>
      <c r="D311" s="53" t="s">
        <v>15</v>
      </c>
      <c r="E311" s="53" t="s">
        <v>15</v>
      </c>
      <c r="F311" s="53" t="s">
        <v>15</v>
      </c>
      <c r="G311" s="53" t="s">
        <v>4969</v>
      </c>
      <c r="H311" s="53" t="s">
        <v>807</v>
      </c>
      <c r="I311" s="53" t="s">
        <v>1781</v>
      </c>
      <c r="J311" s="53" t="s">
        <v>1771</v>
      </c>
      <c r="K311" s="53" t="s">
        <v>1779</v>
      </c>
      <c r="L311" s="53" t="s">
        <v>15</v>
      </c>
      <c r="M311" s="53" t="s">
        <v>15</v>
      </c>
      <c r="N311" s="53" t="s">
        <v>15</v>
      </c>
      <c r="O311" s="53" t="s">
        <v>15</v>
      </c>
    </row>
    <row r="312" spans="1:15" x14ac:dyDescent="0.25">
      <c r="A312" s="52" t="s">
        <v>4558</v>
      </c>
      <c r="B312" s="54" t="str">
        <f t="shared" si="4"/>
        <v>IC,,MISC,7924,TO220</v>
      </c>
      <c r="C312" s="53" t="s">
        <v>15</v>
      </c>
      <c r="D312" s="53" t="s">
        <v>15</v>
      </c>
      <c r="E312" s="53" t="s">
        <v>15</v>
      </c>
      <c r="F312" s="53" t="s">
        <v>15</v>
      </c>
      <c r="G312" s="53"/>
      <c r="H312" s="53" t="s">
        <v>466</v>
      </c>
      <c r="I312" s="53" t="s">
        <v>1782</v>
      </c>
      <c r="J312" s="53" t="s">
        <v>780</v>
      </c>
      <c r="K312" s="53" t="s">
        <v>15</v>
      </c>
      <c r="L312" s="53" t="s">
        <v>15</v>
      </c>
      <c r="M312" s="53" t="s">
        <v>15</v>
      </c>
      <c r="N312" s="53" t="s">
        <v>15</v>
      </c>
      <c r="O312" s="53" t="s">
        <v>15</v>
      </c>
    </row>
    <row r="313" spans="1:15" x14ac:dyDescent="0.25">
      <c r="A313" s="52" t="s">
        <v>4559</v>
      </c>
      <c r="B313" s="54" t="str">
        <f t="shared" si="4"/>
        <v>IC,,TEMIC,80C32,PLCC44</v>
      </c>
      <c r="C313" s="53" t="s">
        <v>15</v>
      </c>
      <c r="D313" s="53" t="s">
        <v>15</v>
      </c>
      <c r="E313" s="53" t="s">
        <v>15</v>
      </c>
      <c r="F313" s="53" t="s">
        <v>15</v>
      </c>
      <c r="G313" s="53"/>
      <c r="H313" s="53" t="s">
        <v>1783</v>
      </c>
      <c r="I313" s="53" t="s">
        <v>1784</v>
      </c>
      <c r="J313" s="53" t="s">
        <v>1320</v>
      </c>
      <c r="K313" s="53" t="s">
        <v>1785</v>
      </c>
      <c r="L313" s="53" t="s">
        <v>15</v>
      </c>
      <c r="M313" s="53" t="s">
        <v>15</v>
      </c>
      <c r="N313" s="53" t="s">
        <v>15</v>
      </c>
      <c r="O313" s="53" t="s">
        <v>15</v>
      </c>
    </row>
    <row r="314" spans="1:15" x14ac:dyDescent="0.25">
      <c r="A314" s="52" t="s">
        <v>4560</v>
      </c>
      <c r="B314" s="54" t="str">
        <f t="shared" si="4"/>
        <v>IC,,NATIONAL,LM2925,TO220-5</v>
      </c>
      <c r="C314" s="53" t="s">
        <v>15</v>
      </c>
      <c r="D314" s="53" t="s">
        <v>15</v>
      </c>
      <c r="E314" s="53" t="s">
        <v>15</v>
      </c>
      <c r="F314" s="53" t="s">
        <v>15</v>
      </c>
      <c r="G314" s="53"/>
      <c r="H314" s="53" t="s">
        <v>1556</v>
      </c>
      <c r="I314" s="53" t="s">
        <v>1786</v>
      </c>
      <c r="J314" s="53" t="s">
        <v>1787</v>
      </c>
      <c r="K314" s="53" t="s">
        <v>1788</v>
      </c>
      <c r="L314" s="53" t="s">
        <v>15</v>
      </c>
      <c r="M314" s="53" t="s">
        <v>15</v>
      </c>
      <c r="N314" s="53" t="s">
        <v>15</v>
      </c>
      <c r="O314" s="53" t="s">
        <v>15</v>
      </c>
    </row>
    <row r="315" spans="1:15" x14ac:dyDescent="0.25">
      <c r="A315" s="52" t="s">
        <v>4561</v>
      </c>
      <c r="B315" s="54" t="str">
        <f t="shared" si="4"/>
        <v>IC,,NATIONAL,LM2595-3.3,TO220-5</v>
      </c>
      <c r="C315" s="53" t="s">
        <v>15</v>
      </c>
      <c r="D315" s="53" t="s">
        <v>15</v>
      </c>
      <c r="E315" s="53" t="s">
        <v>15</v>
      </c>
      <c r="F315" s="53" t="s">
        <v>15</v>
      </c>
      <c r="G315" s="53"/>
      <c r="H315" s="53" t="s">
        <v>1556</v>
      </c>
      <c r="I315" s="53" t="s">
        <v>1789</v>
      </c>
      <c r="J315" s="53" t="s">
        <v>1787</v>
      </c>
      <c r="K315" s="53" t="s">
        <v>1788</v>
      </c>
      <c r="L315" s="53" t="s">
        <v>15</v>
      </c>
      <c r="M315" s="53" t="s">
        <v>15</v>
      </c>
      <c r="N315" s="53" t="s">
        <v>15</v>
      </c>
      <c r="O315" s="53" t="s">
        <v>15</v>
      </c>
    </row>
    <row r="316" spans="1:15" x14ac:dyDescent="0.25">
      <c r="A316" s="52" t="s">
        <v>4562</v>
      </c>
      <c r="B316" s="54" t="str">
        <f t="shared" si="4"/>
        <v>IC,,NATIONAL,LM2595-5.0,TO220-5</v>
      </c>
      <c r="C316" s="53" t="s">
        <v>15</v>
      </c>
      <c r="D316" s="53" t="s">
        <v>15</v>
      </c>
      <c r="E316" s="53" t="s">
        <v>15</v>
      </c>
      <c r="F316" s="53" t="s">
        <v>15</v>
      </c>
      <c r="G316" s="53"/>
      <c r="H316" s="53" t="s">
        <v>1556</v>
      </c>
      <c r="I316" s="53" t="s">
        <v>1790</v>
      </c>
      <c r="J316" s="53" t="s">
        <v>1787</v>
      </c>
      <c r="K316" s="53" t="s">
        <v>1788</v>
      </c>
      <c r="L316" s="53" t="s">
        <v>15</v>
      </c>
      <c r="M316" s="53" t="s">
        <v>15</v>
      </c>
      <c r="N316" s="53" t="s">
        <v>15</v>
      </c>
      <c r="O316" s="53" t="s">
        <v>15</v>
      </c>
    </row>
    <row r="317" spans="1:15" x14ac:dyDescent="0.25">
      <c r="A317" s="52" t="s">
        <v>4563</v>
      </c>
      <c r="B317" s="54" t="str">
        <f t="shared" si="4"/>
        <v>IC,,NATIONAL,LM2575-5.0,TO220-5</v>
      </c>
      <c r="C317" s="53" t="s">
        <v>15</v>
      </c>
      <c r="D317" s="53" t="s">
        <v>15</v>
      </c>
      <c r="E317" s="53" t="s">
        <v>15</v>
      </c>
      <c r="F317" s="53" t="s">
        <v>15</v>
      </c>
      <c r="G317" s="53"/>
      <c r="H317" s="53" t="s">
        <v>1556</v>
      </c>
      <c r="I317" s="53" t="s">
        <v>1791</v>
      </c>
      <c r="J317" s="53" t="s">
        <v>1787</v>
      </c>
      <c r="K317" s="53" t="s">
        <v>1788</v>
      </c>
      <c r="L317" s="53" t="s">
        <v>15</v>
      </c>
      <c r="M317" s="53" t="s">
        <v>15</v>
      </c>
      <c r="N317" s="53" t="s">
        <v>15</v>
      </c>
      <c r="O317" s="53" t="s">
        <v>15</v>
      </c>
    </row>
    <row r="318" spans="1:15" x14ac:dyDescent="0.25">
      <c r="A318" s="52" t="s">
        <v>4564</v>
      </c>
      <c r="B318" s="54" t="str">
        <f t="shared" si="4"/>
        <v>IC,,TI,TL072,DIP8</v>
      </c>
      <c r="C318" s="53" t="s">
        <v>15</v>
      </c>
      <c r="D318" s="53" t="s">
        <v>15</v>
      </c>
      <c r="E318" s="53" t="s">
        <v>15</v>
      </c>
      <c r="F318" s="53" t="s">
        <v>15</v>
      </c>
      <c r="G318" s="53"/>
      <c r="H318" s="53" t="s">
        <v>1145</v>
      </c>
      <c r="I318" s="53" t="s">
        <v>1792</v>
      </c>
      <c r="J318" s="53" t="s">
        <v>423</v>
      </c>
      <c r="K318" s="53" t="s">
        <v>1793</v>
      </c>
      <c r="L318" s="53" t="s">
        <v>15</v>
      </c>
      <c r="M318" s="53" t="s">
        <v>15</v>
      </c>
      <c r="N318" s="53" t="s">
        <v>15</v>
      </c>
      <c r="O318" s="53" t="s">
        <v>15</v>
      </c>
    </row>
    <row r="319" spans="1:15" x14ac:dyDescent="0.25">
      <c r="A319" s="52" t="s">
        <v>4565</v>
      </c>
      <c r="B319" s="54" t="str">
        <f t="shared" si="4"/>
        <v>IC,,TI,TL081,DIP8</v>
      </c>
      <c r="C319" s="53" t="s">
        <v>15</v>
      </c>
      <c r="D319" s="53" t="s">
        <v>15</v>
      </c>
      <c r="E319" s="53" t="s">
        <v>15</v>
      </c>
      <c r="F319" s="53" t="s">
        <v>15</v>
      </c>
      <c r="G319" s="53"/>
      <c r="H319" s="53" t="s">
        <v>1145</v>
      </c>
      <c r="I319" s="53" t="s">
        <v>1794</v>
      </c>
      <c r="J319" s="53" t="s">
        <v>423</v>
      </c>
      <c r="K319" s="53" t="s">
        <v>1793</v>
      </c>
      <c r="L319" s="53" t="s">
        <v>15</v>
      </c>
      <c r="M319" s="53" t="s">
        <v>15</v>
      </c>
      <c r="N319" s="53" t="s">
        <v>15</v>
      </c>
      <c r="O319" s="53" t="s">
        <v>15</v>
      </c>
    </row>
    <row r="320" spans="1:15" x14ac:dyDescent="0.25">
      <c r="A320" s="52" t="s">
        <v>4566</v>
      </c>
      <c r="B320" s="54" t="str">
        <f t="shared" si="4"/>
        <v>IC,,ANALOG,OP07,DIP8</v>
      </c>
      <c r="C320" s="53" t="s">
        <v>15</v>
      </c>
      <c r="D320" s="53" t="s">
        <v>15</v>
      </c>
      <c r="E320" s="53" t="s">
        <v>15</v>
      </c>
      <c r="F320" s="53" t="s">
        <v>15</v>
      </c>
      <c r="G320" s="53"/>
      <c r="H320" s="53" t="s">
        <v>1561</v>
      </c>
      <c r="I320" s="53" t="s">
        <v>1795</v>
      </c>
      <c r="J320" s="53" t="s">
        <v>423</v>
      </c>
      <c r="K320" s="53" t="s">
        <v>1793</v>
      </c>
      <c r="L320" s="53" t="s">
        <v>15</v>
      </c>
      <c r="M320" s="53" t="s">
        <v>15</v>
      </c>
      <c r="N320" s="53" t="s">
        <v>15</v>
      </c>
      <c r="O320" s="53" t="s">
        <v>15</v>
      </c>
    </row>
    <row r="321" spans="1:15" x14ac:dyDescent="0.25">
      <c r="A321" s="52" t="s">
        <v>4567</v>
      </c>
      <c r="B321" s="54" t="str">
        <f t="shared" si="4"/>
        <v>IC,TIMER,NATIONAL,NE555,DIP8</v>
      </c>
      <c r="C321" s="53" t="s">
        <v>15</v>
      </c>
      <c r="D321" s="53" t="s">
        <v>15</v>
      </c>
      <c r="E321" s="53" t="s">
        <v>15</v>
      </c>
      <c r="F321" s="53" t="s">
        <v>15</v>
      </c>
      <c r="G321" s="53" t="s">
        <v>4962</v>
      </c>
      <c r="H321" s="53" t="s">
        <v>1556</v>
      </c>
      <c r="I321" s="53" t="s">
        <v>1796</v>
      </c>
      <c r="J321" s="53" t="s">
        <v>423</v>
      </c>
      <c r="K321" s="53" t="s">
        <v>1797</v>
      </c>
      <c r="L321" s="53" t="s">
        <v>15</v>
      </c>
      <c r="M321" s="53" t="s">
        <v>15</v>
      </c>
      <c r="N321" s="53" t="s">
        <v>15</v>
      </c>
      <c r="O321" s="53" t="s">
        <v>15</v>
      </c>
    </row>
    <row r="322" spans="1:15" x14ac:dyDescent="0.25">
      <c r="A322" s="52" t="s">
        <v>4568</v>
      </c>
      <c r="B322" s="54" t="str">
        <f t="shared" si="4"/>
        <v>IC,TIMER,DUAL,NATIONAL,NE556,DIP14</v>
      </c>
      <c r="C322" s="53" t="s">
        <v>15</v>
      </c>
      <c r="D322" s="53" t="s">
        <v>15</v>
      </c>
      <c r="E322" s="53" t="s">
        <v>15</v>
      </c>
      <c r="F322" s="53" t="s">
        <v>15</v>
      </c>
      <c r="G322" s="53" t="s">
        <v>4970</v>
      </c>
      <c r="H322" s="53" t="s">
        <v>1556</v>
      </c>
      <c r="I322" s="53" t="s">
        <v>1798</v>
      </c>
      <c r="J322" s="53" t="s">
        <v>428</v>
      </c>
      <c r="K322" s="53" t="s">
        <v>1797</v>
      </c>
      <c r="L322" s="53" t="s">
        <v>15</v>
      </c>
      <c r="M322" s="53" t="s">
        <v>15</v>
      </c>
      <c r="N322" s="53" t="s">
        <v>15</v>
      </c>
      <c r="O322" s="53" t="s">
        <v>15</v>
      </c>
    </row>
    <row r="323" spans="1:15" x14ac:dyDescent="0.25">
      <c r="A323" s="52" t="s">
        <v>4569</v>
      </c>
      <c r="B323" s="54" t="str">
        <f t="shared" ref="B323:B386" si="5">_xlfn.CONCAT("IC,",G323,",",H323,",",I323,",",J323)</f>
        <v>IC,,NATIONAL,NE566,</v>
      </c>
      <c r="C323" s="53" t="s">
        <v>15</v>
      </c>
      <c r="D323" s="53" t="s">
        <v>15</v>
      </c>
      <c r="E323" s="53" t="s">
        <v>15</v>
      </c>
      <c r="F323" s="53" t="s">
        <v>15</v>
      </c>
      <c r="G323" s="53"/>
      <c r="H323" s="53" t="s">
        <v>1556</v>
      </c>
      <c r="I323" s="53" t="s">
        <v>1799</v>
      </c>
      <c r="J323" s="53" t="s">
        <v>15</v>
      </c>
      <c r="K323" s="53" t="s">
        <v>1797</v>
      </c>
      <c r="L323" s="53" t="s">
        <v>15</v>
      </c>
      <c r="M323" s="53" t="s">
        <v>15</v>
      </c>
      <c r="N323" s="53" t="s">
        <v>15</v>
      </c>
      <c r="O323" s="53" t="s">
        <v>15</v>
      </c>
    </row>
    <row r="324" spans="1:15" x14ac:dyDescent="0.25">
      <c r="A324" s="52" t="s">
        <v>4570</v>
      </c>
      <c r="B324" s="54" t="str">
        <f t="shared" si="5"/>
        <v>IC,,NATIONAL,NE567,DIP8</v>
      </c>
      <c r="C324" s="53" t="s">
        <v>15</v>
      </c>
      <c r="D324" s="53" t="s">
        <v>15</v>
      </c>
      <c r="E324" s="53" t="s">
        <v>423</v>
      </c>
      <c r="F324" s="53" t="s">
        <v>15</v>
      </c>
      <c r="G324" s="53"/>
      <c r="H324" s="53" t="s">
        <v>1556</v>
      </c>
      <c r="I324" s="53" t="s">
        <v>1800</v>
      </c>
      <c r="J324" s="53" t="s">
        <v>423</v>
      </c>
      <c r="K324" s="53" t="s">
        <v>1797</v>
      </c>
      <c r="L324" s="53" t="s">
        <v>15</v>
      </c>
      <c r="M324" s="53" t="s">
        <v>15</v>
      </c>
      <c r="N324" s="53" t="s">
        <v>15</v>
      </c>
      <c r="O324" s="53" t="s">
        <v>15</v>
      </c>
    </row>
    <row r="325" spans="1:15" x14ac:dyDescent="0.25">
      <c r="A325" s="52" t="s">
        <v>4571</v>
      </c>
      <c r="B325" s="54" t="str">
        <f t="shared" si="5"/>
        <v>IC,MEMORY,SRAM,HITACH,62256,DIP28</v>
      </c>
      <c r="C325" s="53" t="s">
        <v>15</v>
      </c>
      <c r="D325" s="53" t="s">
        <v>15</v>
      </c>
      <c r="E325" s="53" t="s">
        <v>15</v>
      </c>
      <c r="F325" s="53" t="s">
        <v>15</v>
      </c>
      <c r="G325" s="53" t="s">
        <v>4971</v>
      </c>
      <c r="H325" s="53" t="s">
        <v>1801</v>
      </c>
      <c r="I325" s="53" t="s">
        <v>1802</v>
      </c>
      <c r="J325" s="53" t="s">
        <v>1803</v>
      </c>
      <c r="K325" s="53" t="s">
        <v>1804</v>
      </c>
      <c r="L325" s="53" t="s">
        <v>15</v>
      </c>
      <c r="M325" s="53" t="s">
        <v>15</v>
      </c>
      <c r="N325" s="53" t="s">
        <v>15</v>
      </c>
      <c r="O325" s="53" t="s">
        <v>15</v>
      </c>
    </row>
    <row r="326" spans="1:15" x14ac:dyDescent="0.25">
      <c r="A326" s="52" t="s">
        <v>4572</v>
      </c>
      <c r="B326" s="54" t="str">
        <f t="shared" si="5"/>
        <v>IC,MEMORY,SRAM,HITACHI,43256,DIP28</v>
      </c>
      <c r="C326" s="53" t="s">
        <v>15</v>
      </c>
      <c r="D326" s="53" t="s">
        <v>15</v>
      </c>
      <c r="E326" s="53" t="s">
        <v>15</v>
      </c>
      <c r="F326" s="53" t="s">
        <v>15</v>
      </c>
      <c r="G326" s="53" t="s">
        <v>4971</v>
      </c>
      <c r="H326" s="53" t="s">
        <v>1805</v>
      </c>
      <c r="I326" s="53" t="s">
        <v>1806</v>
      </c>
      <c r="J326" s="53" t="s">
        <v>1803</v>
      </c>
      <c r="K326" s="53" t="s">
        <v>1804</v>
      </c>
      <c r="L326" s="53" t="s">
        <v>15</v>
      </c>
      <c r="M326" s="53" t="s">
        <v>15</v>
      </c>
      <c r="N326" s="53" t="s">
        <v>15</v>
      </c>
      <c r="O326" s="53" t="s">
        <v>15</v>
      </c>
    </row>
    <row r="327" spans="1:15" x14ac:dyDescent="0.25">
      <c r="A327" s="52" t="s">
        <v>4573</v>
      </c>
      <c r="B327" s="54" t="str">
        <f t="shared" si="5"/>
        <v>IC,,ANALOG,AD790,</v>
      </c>
      <c r="C327" s="53" t="s">
        <v>15</v>
      </c>
      <c r="D327" s="53" t="s">
        <v>15</v>
      </c>
      <c r="E327" s="53" t="s">
        <v>15</v>
      </c>
      <c r="F327" s="53" t="s">
        <v>15</v>
      </c>
      <c r="G327" s="53"/>
      <c r="H327" s="53" t="s">
        <v>1561</v>
      </c>
      <c r="I327" s="53" t="s">
        <v>1807</v>
      </c>
      <c r="J327" s="53" t="s">
        <v>15</v>
      </c>
      <c r="K327" s="53" t="s">
        <v>1808</v>
      </c>
      <c r="L327" s="53" t="s">
        <v>15</v>
      </c>
      <c r="M327" s="53" t="s">
        <v>15</v>
      </c>
      <c r="N327" s="53" t="s">
        <v>15</v>
      </c>
      <c r="O327" s="53" t="s">
        <v>15</v>
      </c>
    </row>
    <row r="328" spans="1:15" x14ac:dyDescent="0.25">
      <c r="A328" s="52" t="s">
        <v>4574</v>
      </c>
      <c r="B328" s="54" t="str">
        <f t="shared" si="5"/>
        <v>IC,,ANALOG,OP27,DIP8</v>
      </c>
      <c r="C328" s="53" t="s">
        <v>15</v>
      </c>
      <c r="D328" s="53" t="s">
        <v>15</v>
      </c>
      <c r="E328" s="53" t="s">
        <v>423</v>
      </c>
      <c r="F328" s="53" t="s">
        <v>15</v>
      </c>
      <c r="G328" s="53"/>
      <c r="H328" s="53" t="s">
        <v>1561</v>
      </c>
      <c r="I328" s="53" t="s">
        <v>1809</v>
      </c>
      <c r="J328" s="53" t="s">
        <v>423</v>
      </c>
      <c r="K328" s="53" t="s">
        <v>1808</v>
      </c>
      <c r="L328" s="53" t="s">
        <v>15</v>
      </c>
      <c r="M328" s="53" t="s">
        <v>15</v>
      </c>
      <c r="N328" s="53" t="s">
        <v>15</v>
      </c>
      <c r="O328" s="53" t="s">
        <v>15</v>
      </c>
    </row>
    <row r="329" spans="1:15" x14ac:dyDescent="0.25">
      <c r="A329" s="52" t="s">
        <v>4575</v>
      </c>
      <c r="B329" s="54" t="str">
        <f t="shared" si="5"/>
        <v>IC,,ANALOG,OP37,DIP8</v>
      </c>
      <c r="C329" s="53" t="s">
        <v>15</v>
      </c>
      <c r="D329" s="53" t="s">
        <v>15</v>
      </c>
      <c r="E329" s="53" t="s">
        <v>423</v>
      </c>
      <c r="F329" s="53" t="s">
        <v>15</v>
      </c>
      <c r="G329" s="53"/>
      <c r="H329" s="53" t="s">
        <v>1561</v>
      </c>
      <c r="I329" s="53" t="s">
        <v>1810</v>
      </c>
      <c r="J329" s="53" t="s">
        <v>423</v>
      </c>
      <c r="K329" s="53" t="s">
        <v>1808</v>
      </c>
      <c r="L329" s="53" t="s">
        <v>15</v>
      </c>
      <c r="M329" s="53" t="s">
        <v>15</v>
      </c>
      <c r="N329" s="53" t="s">
        <v>15</v>
      </c>
      <c r="O329" s="53" t="s">
        <v>15</v>
      </c>
    </row>
    <row r="330" spans="1:15" x14ac:dyDescent="0.25">
      <c r="A330" s="52" t="s">
        <v>4576</v>
      </c>
      <c r="B330" s="54" t="str">
        <f t="shared" si="5"/>
        <v>IC,,ANALOG,OPA620,</v>
      </c>
      <c r="C330" s="53" t="s">
        <v>15</v>
      </c>
      <c r="D330" s="53" t="s">
        <v>15</v>
      </c>
      <c r="E330" s="53" t="s">
        <v>15</v>
      </c>
      <c r="F330" s="53" t="s">
        <v>15</v>
      </c>
      <c r="G330" s="53"/>
      <c r="H330" s="53" t="s">
        <v>1561</v>
      </c>
      <c r="I330" s="53" t="s">
        <v>1811</v>
      </c>
      <c r="J330" s="53" t="s">
        <v>15</v>
      </c>
      <c r="K330" s="53" t="s">
        <v>1808</v>
      </c>
      <c r="L330" s="53" t="s">
        <v>15</v>
      </c>
      <c r="M330" s="53" t="s">
        <v>15</v>
      </c>
      <c r="N330" s="53" t="s">
        <v>15</v>
      </c>
      <c r="O330" s="53" t="s">
        <v>15</v>
      </c>
    </row>
    <row r="331" spans="1:15" x14ac:dyDescent="0.25">
      <c r="A331" s="52" t="s">
        <v>4577</v>
      </c>
      <c r="B331" s="54" t="str">
        <f t="shared" si="5"/>
        <v>IC,OPAMP,QUAD,NATIONAL,LM324,DIP14</v>
      </c>
      <c r="C331" s="53" t="s">
        <v>15</v>
      </c>
      <c r="D331" s="53" t="s">
        <v>15</v>
      </c>
      <c r="E331" s="53" t="s">
        <v>15</v>
      </c>
      <c r="F331" s="53" t="s">
        <v>15</v>
      </c>
      <c r="G331" s="53" t="s">
        <v>4020</v>
      </c>
      <c r="H331" s="53" t="s">
        <v>1556</v>
      </c>
      <c r="I331" s="53" t="s">
        <v>1672</v>
      </c>
      <c r="J331" s="53" t="s">
        <v>428</v>
      </c>
      <c r="K331" s="53" t="s">
        <v>1812</v>
      </c>
      <c r="L331" s="53" t="s">
        <v>15</v>
      </c>
      <c r="M331" s="53" t="s">
        <v>15</v>
      </c>
      <c r="N331" s="53" t="s">
        <v>15</v>
      </c>
      <c r="O331" s="53" t="s">
        <v>15</v>
      </c>
    </row>
    <row r="332" spans="1:15" x14ac:dyDescent="0.25">
      <c r="A332" s="52" t="s">
        <v>4578</v>
      </c>
      <c r="B332" s="54" t="str">
        <f t="shared" si="5"/>
        <v>IC,COMPARATOR,QUAD,NATIONAL,LM339,DIP14</v>
      </c>
      <c r="C332" s="53" t="s">
        <v>15</v>
      </c>
      <c r="D332" s="53" t="s">
        <v>15</v>
      </c>
      <c r="E332" s="53" t="s">
        <v>15</v>
      </c>
      <c r="F332" s="53" t="s">
        <v>15</v>
      </c>
      <c r="G332" s="53" t="s">
        <v>4972</v>
      </c>
      <c r="H332" s="53" t="s">
        <v>1556</v>
      </c>
      <c r="I332" s="53" t="s">
        <v>1485</v>
      </c>
      <c r="J332" s="53" t="s">
        <v>428</v>
      </c>
      <c r="K332" s="53" t="s">
        <v>1812</v>
      </c>
      <c r="L332" s="53" t="s">
        <v>15</v>
      </c>
      <c r="M332" s="53" t="s">
        <v>15</v>
      </c>
      <c r="N332" s="53" t="s">
        <v>15</v>
      </c>
      <c r="O332" s="53" t="s">
        <v>15</v>
      </c>
    </row>
    <row r="333" spans="1:15" x14ac:dyDescent="0.25">
      <c r="A333" s="52" t="s">
        <v>4579</v>
      </c>
      <c r="B333" s="54" t="str">
        <f t="shared" si="5"/>
        <v>IC,,NATIONAL,LM358,DIP8</v>
      </c>
      <c r="C333" s="53" t="s">
        <v>15</v>
      </c>
      <c r="D333" s="53" t="s">
        <v>15</v>
      </c>
      <c r="E333" s="53" t="s">
        <v>423</v>
      </c>
      <c r="F333" s="53" t="s">
        <v>15</v>
      </c>
      <c r="G333" s="53"/>
      <c r="H333" s="53" t="s">
        <v>1556</v>
      </c>
      <c r="I333" s="53" t="s">
        <v>1813</v>
      </c>
      <c r="J333" s="53" t="s">
        <v>423</v>
      </c>
      <c r="K333" s="53" t="s">
        <v>1812</v>
      </c>
      <c r="L333" s="53" t="s">
        <v>15</v>
      </c>
      <c r="M333" s="53" t="s">
        <v>15</v>
      </c>
      <c r="N333" s="53" t="s">
        <v>15</v>
      </c>
      <c r="O333" s="53" t="s">
        <v>15</v>
      </c>
    </row>
    <row r="334" spans="1:15" x14ac:dyDescent="0.25">
      <c r="A334" s="52" t="s">
        <v>4580</v>
      </c>
      <c r="B334" s="54" t="str">
        <f t="shared" si="5"/>
        <v>IC,OPAMP,SINGLE,NATIONAL,LM741,DIP8</v>
      </c>
      <c r="C334" s="53" t="s">
        <v>15</v>
      </c>
      <c r="D334" s="53" t="s">
        <v>15</v>
      </c>
      <c r="E334" s="53" t="s">
        <v>423</v>
      </c>
      <c r="F334" s="53" t="s">
        <v>15</v>
      </c>
      <c r="G334" s="53" t="s">
        <v>4026</v>
      </c>
      <c r="H334" s="53" t="s">
        <v>1556</v>
      </c>
      <c r="I334" s="53" t="s">
        <v>1814</v>
      </c>
      <c r="J334" s="53" t="s">
        <v>423</v>
      </c>
      <c r="K334" s="53" t="s">
        <v>1812</v>
      </c>
      <c r="L334" s="53" t="s">
        <v>15</v>
      </c>
      <c r="M334" s="53" t="s">
        <v>15</v>
      </c>
      <c r="N334" s="53" t="s">
        <v>15</v>
      </c>
      <c r="O334" s="53" t="s">
        <v>15</v>
      </c>
    </row>
    <row r="335" spans="1:15" x14ac:dyDescent="0.25">
      <c r="A335" s="52" t="s">
        <v>4581</v>
      </c>
      <c r="B335" s="54" t="str">
        <f t="shared" si="5"/>
        <v>IC,,NATIONAL,LM2676-3.3,</v>
      </c>
      <c r="C335" s="53" t="s">
        <v>15</v>
      </c>
      <c r="D335" s="53" t="s">
        <v>15</v>
      </c>
      <c r="E335" s="53" t="s">
        <v>15</v>
      </c>
      <c r="F335" s="53" t="s">
        <v>15</v>
      </c>
      <c r="G335" s="53"/>
      <c r="H335" s="53" t="s">
        <v>1556</v>
      </c>
      <c r="I335" s="53" t="s">
        <v>1815</v>
      </c>
      <c r="J335" s="53" t="s">
        <v>15</v>
      </c>
      <c r="K335" s="53" t="s">
        <v>15</v>
      </c>
      <c r="L335" s="53" t="s">
        <v>15</v>
      </c>
      <c r="M335" s="53" t="s">
        <v>15</v>
      </c>
      <c r="N335" s="53" t="s">
        <v>15</v>
      </c>
      <c r="O335" s="53" t="s">
        <v>15</v>
      </c>
    </row>
    <row r="336" spans="1:15" x14ac:dyDescent="0.25">
      <c r="A336" s="52" t="s">
        <v>4582</v>
      </c>
      <c r="B336" s="54" t="str">
        <f t="shared" si="5"/>
        <v>IC,,LINEAR,LT1085,</v>
      </c>
      <c r="C336" s="53" t="s">
        <v>15</v>
      </c>
      <c r="D336" s="53" t="s">
        <v>15</v>
      </c>
      <c r="E336" s="53" t="s">
        <v>15</v>
      </c>
      <c r="F336" s="53" t="s">
        <v>15</v>
      </c>
      <c r="G336" s="53"/>
      <c r="H336" s="53" t="s">
        <v>1594</v>
      </c>
      <c r="I336" s="53" t="s">
        <v>1816</v>
      </c>
      <c r="J336" s="53" t="s">
        <v>15</v>
      </c>
      <c r="K336" s="53" t="s">
        <v>15</v>
      </c>
      <c r="L336" s="53" t="s">
        <v>15</v>
      </c>
      <c r="M336" s="53" t="s">
        <v>15</v>
      </c>
      <c r="N336" s="53" t="s">
        <v>15</v>
      </c>
      <c r="O336" s="53" t="s">
        <v>15</v>
      </c>
    </row>
    <row r="337" spans="1:15" x14ac:dyDescent="0.25">
      <c r="A337" s="52" t="s">
        <v>4583</v>
      </c>
      <c r="B337" s="54" t="str">
        <f t="shared" si="5"/>
        <v>IC,,PHILIPS,TDA1515,</v>
      </c>
      <c r="C337" s="53" t="s">
        <v>15</v>
      </c>
      <c r="D337" s="53" t="s">
        <v>15</v>
      </c>
      <c r="E337" s="53" t="s">
        <v>15</v>
      </c>
      <c r="F337" s="53" t="s">
        <v>15</v>
      </c>
      <c r="G337" s="53"/>
      <c r="H337" s="53" t="s">
        <v>1817</v>
      </c>
      <c r="I337" s="53" t="s">
        <v>1818</v>
      </c>
      <c r="J337" s="53" t="s">
        <v>15</v>
      </c>
      <c r="K337" s="53" t="s">
        <v>15</v>
      </c>
      <c r="L337" s="53" t="s">
        <v>15</v>
      </c>
      <c r="M337" s="53" t="s">
        <v>15</v>
      </c>
      <c r="N337" s="53" t="s">
        <v>15</v>
      </c>
      <c r="O337" s="53" t="s">
        <v>15</v>
      </c>
    </row>
    <row r="338" spans="1:15" x14ac:dyDescent="0.25">
      <c r="A338" s="52" t="s">
        <v>4584</v>
      </c>
      <c r="B338" s="54" t="str">
        <f t="shared" si="5"/>
        <v>IC,ADC,3-1/2 DIGIT,LCD,INTERSIL,ICL7106,DIP40</v>
      </c>
      <c r="C338" s="53" t="s">
        <v>15</v>
      </c>
      <c r="D338" s="53" t="s">
        <v>15</v>
      </c>
      <c r="E338" s="53" t="s">
        <v>15</v>
      </c>
      <c r="F338" s="53" t="s">
        <v>15</v>
      </c>
      <c r="G338" s="53" t="s">
        <v>4975</v>
      </c>
      <c r="H338" s="53" t="s">
        <v>1819</v>
      </c>
      <c r="I338" s="53" t="s">
        <v>1820</v>
      </c>
      <c r="J338" s="53" t="s">
        <v>1771</v>
      </c>
      <c r="K338" s="53" t="s">
        <v>1821</v>
      </c>
      <c r="L338" s="53" t="s">
        <v>15</v>
      </c>
      <c r="M338" s="53" t="s">
        <v>15</v>
      </c>
      <c r="N338" s="53" t="s">
        <v>15</v>
      </c>
      <c r="O338" s="53" t="s">
        <v>15</v>
      </c>
    </row>
    <row r="339" spans="1:15" x14ac:dyDescent="0.25">
      <c r="A339" s="52" t="s">
        <v>4585</v>
      </c>
      <c r="B339" s="54" t="str">
        <f t="shared" si="5"/>
        <v>IC,ADC,3-1/2 DIGIT,LED,INTERSIL,ICL7107,DIP40</v>
      </c>
      <c r="C339" s="53" t="s">
        <v>15</v>
      </c>
      <c r="D339" s="53" t="s">
        <v>15</v>
      </c>
      <c r="E339" s="53" t="s">
        <v>15</v>
      </c>
      <c r="F339" s="53" t="s">
        <v>15</v>
      </c>
      <c r="G339" s="53" t="s">
        <v>4974</v>
      </c>
      <c r="H339" s="53" t="s">
        <v>1819</v>
      </c>
      <c r="I339" s="53" t="s">
        <v>1822</v>
      </c>
      <c r="J339" s="53" t="s">
        <v>1771</v>
      </c>
      <c r="K339" s="53" t="s">
        <v>1821</v>
      </c>
      <c r="L339" s="53" t="s">
        <v>15</v>
      </c>
      <c r="M339" s="53" t="s">
        <v>15</v>
      </c>
      <c r="N339" s="53" t="s">
        <v>15</v>
      </c>
      <c r="O339" s="53" t="s">
        <v>15</v>
      </c>
    </row>
    <row r="340" spans="1:15" x14ac:dyDescent="0.25">
      <c r="A340" s="52" t="s">
        <v>4586</v>
      </c>
      <c r="B340" s="54" t="str">
        <f t="shared" si="5"/>
        <v>IC,,INTERSIL,ICL7109,DIP40</v>
      </c>
      <c r="C340" s="53" t="s">
        <v>15</v>
      </c>
      <c r="D340" s="53" t="s">
        <v>15</v>
      </c>
      <c r="E340" s="53" t="s">
        <v>15</v>
      </c>
      <c r="F340" s="53" t="s">
        <v>15</v>
      </c>
      <c r="G340" s="53"/>
      <c r="H340" s="53" t="s">
        <v>1819</v>
      </c>
      <c r="I340" s="53" t="s">
        <v>1823</v>
      </c>
      <c r="J340" s="53" t="s">
        <v>1771</v>
      </c>
      <c r="K340" s="53" t="s">
        <v>1824</v>
      </c>
      <c r="L340" s="53" t="s">
        <v>15</v>
      </c>
      <c r="M340" s="53" t="s">
        <v>15</v>
      </c>
      <c r="N340" s="53" t="s">
        <v>15</v>
      </c>
      <c r="O340" s="53" t="s">
        <v>15</v>
      </c>
    </row>
    <row r="341" spans="1:15" x14ac:dyDescent="0.25">
      <c r="A341" s="52" t="s">
        <v>4587</v>
      </c>
      <c r="B341" s="54" t="str">
        <f t="shared" si="5"/>
        <v>IC,ADC,4-1/2 DIGIT,INTERSIL,ICL7135,DIP28</v>
      </c>
      <c r="C341" s="53" t="s">
        <v>15</v>
      </c>
      <c r="D341" s="53" t="s">
        <v>15</v>
      </c>
      <c r="E341" s="53" t="s">
        <v>15</v>
      </c>
      <c r="F341" s="53" t="s">
        <v>15</v>
      </c>
      <c r="G341" s="53" t="s">
        <v>4973</v>
      </c>
      <c r="H341" s="53" t="s">
        <v>1819</v>
      </c>
      <c r="I341" s="53" t="s">
        <v>1825</v>
      </c>
      <c r="J341" s="53" t="s">
        <v>1803</v>
      </c>
      <c r="K341" s="53" t="s">
        <v>1824</v>
      </c>
      <c r="L341" s="53" t="s">
        <v>15</v>
      </c>
      <c r="M341" s="53" t="s">
        <v>15</v>
      </c>
      <c r="N341" s="53" t="s">
        <v>15</v>
      </c>
      <c r="O341" s="53" t="s">
        <v>15</v>
      </c>
    </row>
    <row r="342" spans="1:15" x14ac:dyDescent="0.25">
      <c r="A342" s="52" t="s">
        <v>4588</v>
      </c>
      <c r="B342" s="54" t="str">
        <f t="shared" si="5"/>
        <v>IC,,MAXIM,MAX133,</v>
      </c>
      <c r="C342" s="53" t="s">
        <v>15</v>
      </c>
      <c r="D342" s="53" t="s">
        <v>15</v>
      </c>
      <c r="E342" s="53" t="s">
        <v>15</v>
      </c>
      <c r="F342" s="53" t="s">
        <v>15</v>
      </c>
      <c r="G342" s="53"/>
      <c r="H342" s="53" t="s">
        <v>1229</v>
      </c>
      <c r="I342" s="53" t="s">
        <v>1826</v>
      </c>
      <c r="J342" s="53" t="s">
        <v>15</v>
      </c>
      <c r="K342" s="53" t="s">
        <v>1824</v>
      </c>
      <c r="L342" s="53" t="s">
        <v>15</v>
      </c>
      <c r="M342" s="53" t="s">
        <v>15</v>
      </c>
      <c r="N342" s="53" t="s">
        <v>15</v>
      </c>
      <c r="O342" s="53" t="s">
        <v>15</v>
      </c>
    </row>
    <row r="343" spans="1:15" x14ac:dyDescent="0.25">
      <c r="A343" s="52" t="s">
        <v>4589</v>
      </c>
      <c r="B343" s="54" t="str">
        <f t="shared" si="5"/>
        <v>IC,,MAXIM,MAX708,SO8</v>
      </c>
      <c r="C343" s="53" t="s">
        <v>15</v>
      </c>
      <c r="D343" s="53" t="s">
        <v>15</v>
      </c>
      <c r="E343" s="53" t="s">
        <v>15</v>
      </c>
      <c r="F343" s="53" t="s">
        <v>15</v>
      </c>
      <c r="G343" s="53"/>
      <c r="H343" s="53" t="s">
        <v>1229</v>
      </c>
      <c r="I343" s="53" t="s">
        <v>1827</v>
      </c>
      <c r="J343" s="53" t="s">
        <v>1147</v>
      </c>
      <c r="K343" s="53" t="s">
        <v>1828</v>
      </c>
      <c r="L343" s="53" t="s">
        <v>15</v>
      </c>
      <c r="M343" s="53" t="s">
        <v>15</v>
      </c>
      <c r="N343" s="53" t="s">
        <v>15</v>
      </c>
      <c r="O343" s="53" t="s">
        <v>15</v>
      </c>
    </row>
    <row r="344" spans="1:15" x14ac:dyDescent="0.25">
      <c r="A344" s="52" t="s">
        <v>4590</v>
      </c>
      <c r="B344" s="54" t="str">
        <f t="shared" si="5"/>
        <v>IC,,NXP,PCA9554,TSSOP</v>
      </c>
      <c r="C344" s="53" t="s">
        <v>15</v>
      </c>
      <c r="D344" s="53" t="s">
        <v>15</v>
      </c>
      <c r="E344" s="53" t="s">
        <v>15</v>
      </c>
      <c r="F344" s="53" t="s">
        <v>15</v>
      </c>
      <c r="G344" s="53"/>
      <c r="H344" s="53" t="s">
        <v>699</v>
      </c>
      <c r="I344" s="53" t="s">
        <v>1829</v>
      </c>
      <c r="J344" s="53" t="s">
        <v>1830</v>
      </c>
      <c r="K344" s="53" t="s">
        <v>1831</v>
      </c>
      <c r="L344" s="53" t="s">
        <v>15</v>
      </c>
      <c r="M344" s="53" t="s">
        <v>15</v>
      </c>
      <c r="N344" s="53" t="s">
        <v>15</v>
      </c>
      <c r="O344" s="53" t="s">
        <v>15</v>
      </c>
    </row>
    <row r="345" spans="1:15" x14ac:dyDescent="0.25">
      <c r="A345" s="52" t="s">
        <v>4591</v>
      </c>
      <c r="B345" s="54" t="str">
        <f t="shared" si="5"/>
        <v>IC,,TI,PCA9544,SO16W</v>
      </c>
      <c r="C345" s="53" t="s">
        <v>15</v>
      </c>
      <c r="D345" s="53" t="s">
        <v>15</v>
      </c>
      <c r="E345" s="53" t="s">
        <v>15</v>
      </c>
      <c r="F345" s="53" t="s">
        <v>15</v>
      </c>
      <c r="G345" s="53"/>
      <c r="H345" s="53" t="s">
        <v>1145</v>
      </c>
      <c r="I345" s="53" t="s">
        <v>1832</v>
      </c>
      <c r="J345" s="53" t="s">
        <v>1165</v>
      </c>
      <c r="K345" s="53" t="s">
        <v>1833</v>
      </c>
      <c r="L345" s="53" t="s">
        <v>15</v>
      </c>
      <c r="M345" s="53" t="s">
        <v>15</v>
      </c>
      <c r="N345" s="53" t="s">
        <v>15</v>
      </c>
      <c r="O345" s="53" t="s">
        <v>15</v>
      </c>
    </row>
    <row r="346" spans="1:15" x14ac:dyDescent="0.25">
      <c r="A346" s="52" t="s">
        <v>4592</v>
      </c>
      <c r="B346" s="54" t="str">
        <f t="shared" si="5"/>
        <v>IC,,MICROCHIP,24LC64,TSSOP8</v>
      </c>
      <c r="C346" s="53" t="s">
        <v>15</v>
      </c>
      <c r="D346" s="53" t="s">
        <v>15</v>
      </c>
      <c r="E346" s="53" t="s">
        <v>15</v>
      </c>
      <c r="F346" s="53" t="s">
        <v>15</v>
      </c>
      <c r="G346" s="53"/>
      <c r="H346" s="53" t="s">
        <v>939</v>
      </c>
      <c r="I346" s="53" t="s">
        <v>1834</v>
      </c>
      <c r="J346" s="53" t="s">
        <v>1835</v>
      </c>
      <c r="K346" s="53" t="s">
        <v>1836</v>
      </c>
      <c r="L346" s="53" t="s">
        <v>15</v>
      </c>
      <c r="M346" s="53" t="s">
        <v>15</v>
      </c>
      <c r="N346" s="53" t="s">
        <v>15</v>
      </c>
      <c r="O346" s="53" t="s">
        <v>15</v>
      </c>
    </row>
    <row r="347" spans="1:15" x14ac:dyDescent="0.25">
      <c r="A347" s="52" t="s">
        <v>4593</v>
      </c>
      <c r="B347" s="54" t="str">
        <f t="shared" si="5"/>
        <v>IC,,TI,74HCT597,SO16</v>
      </c>
      <c r="C347" s="53" t="s">
        <v>15</v>
      </c>
      <c r="D347" s="53" t="s">
        <v>15</v>
      </c>
      <c r="E347" s="53" t="s">
        <v>15</v>
      </c>
      <c r="F347" s="53" t="s">
        <v>15</v>
      </c>
      <c r="G347" s="53"/>
      <c r="H347" s="53" t="s">
        <v>1145</v>
      </c>
      <c r="I347" s="53" t="s">
        <v>1837</v>
      </c>
      <c r="J347" s="53" t="s">
        <v>1261</v>
      </c>
      <c r="K347" s="53" t="s">
        <v>1838</v>
      </c>
      <c r="L347" s="53" t="s">
        <v>15</v>
      </c>
      <c r="M347" s="53" t="s">
        <v>15</v>
      </c>
      <c r="N347" s="53" t="s">
        <v>15</v>
      </c>
      <c r="O347" s="53" t="s">
        <v>15</v>
      </c>
    </row>
    <row r="348" spans="1:15" x14ac:dyDescent="0.25">
      <c r="A348" s="52" t="s">
        <v>4594</v>
      </c>
      <c r="B348" s="54" t="str">
        <f t="shared" si="5"/>
        <v>IC,,AD,AD825ARZ,SO8</v>
      </c>
      <c r="C348" s="53" t="s">
        <v>15</v>
      </c>
      <c r="D348" s="53" t="s">
        <v>15</v>
      </c>
      <c r="E348" s="53" t="s">
        <v>15</v>
      </c>
      <c r="F348" s="53" t="s">
        <v>15</v>
      </c>
      <c r="G348" s="53"/>
      <c r="H348" s="53" t="s">
        <v>1839</v>
      </c>
      <c r="I348" s="53" t="s">
        <v>1840</v>
      </c>
      <c r="J348" s="53" t="s">
        <v>1147</v>
      </c>
      <c r="K348" s="53" t="s">
        <v>1841</v>
      </c>
      <c r="L348" s="53" t="s">
        <v>15</v>
      </c>
      <c r="M348" s="53" t="s">
        <v>15</v>
      </c>
      <c r="N348" s="53" t="s">
        <v>15</v>
      </c>
      <c r="O348" s="53" t="s">
        <v>15</v>
      </c>
    </row>
    <row r="349" spans="1:15" x14ac:dyDescent="0.25">
      <c r="A349" s="52" t="s">
        <v>4595</v>
      </c>
      <c r="B349" s="54" t="str">
        <f t="shared" si="5"/>
        <v>IC,,ST,74LCX574,TSSOP</v>
      </c>
      <c r="C349" s="53" t="s">
        <v>15</v>
      </c>
      <c r="D349" s="53" t="s">
        <v>15</v>
      </c>
      <c r="E349" s="53" t="s">
        <v>15</v>
      </c>
      <c r="F349" s="53" t="s">
        <v>15</v>
      </c>
      <c r="G349" s="53"/>
      <c r="H349" s="53" t="s">
        <v>807</v>
      </c>
      <c r="I349" s="53" t="s">
        <v>1842</v>
      </c>
      <c r="J349" s="53" t="s">
        <v>1830</v>
      </c>
      <c r="K349" s="53" t="s">
        <v>1843</v>
      </c>
      <c r="L349" s="53" t="s">
        <v>15</v>
      </c>
      <c r="M349" s="53" t="s">
        <v>15</v>
      </c>
      <c r="N349" s="53" t="s">
        <v>15</v>
      </c>
      <c r="O349" s="53" t="s">
        <v>15</v>
      </c>
    </row>
    <row r="350" spans="1:15" x14ac:dyDescent="0.25">
      <c r="A350" s="52" t="s">
        <v>4596</v>
      </c>
      <c r="B350" s="54" t="str">
        <f t="shared" si="5"/>
        <v>IC,,NXP,74HC221,SO</v>
      </c>
      <c r="C350" s="53" t="s">
        <v>15</v>
      </c>
      <c r="D350" s="53" t="s">
        <v>15</v>
      </c>
      <c r="E350" s="53" t="s">
        <v>15</v>
      </c>
      <c r="F350" s="53" t="s">
        <v>15</v>
      </c>
      <c r="G350" s="53"/>
      <c r="H350" s="53" t="s">
        <v>699</v>
      </c>
      <c r="I350" s="53" t="s">
        <v>1844</v>
      </c>
      <c r="J350" s="53" t="s">
        <v>1845</v>
      </c>
      <c r="K350" s="53" t="s">
        <v>1846</v>
      </c>
      <c r="L350" s="53" t="s">
        <v>15</v>
      </c>
      <c r="M350" s="53" t="s">
        <v>15</v>
      </c>
      <c r="N350" s="53" t="s">
        <v>15</v>
      </c>
      <c r="O350" s="53" t="s">
        <v>15</v>
      </c>
    </row>
    <row r="351" spans="1:15" x14ac:dyDescent="0.25">
      <c r="A351" s="52" t="s">
        <v>4597</v>
      </c>
      <c r="B351" s="54" t="str">
        <f t="shared" si="5"/>
        <v>IC,,NXP,PCA9544AD,SO20W</v>
      </c>
      <c r="C351" s="53" t="s">
        <v>15</v>
      </c>
      <c r="D351" s="53" t="s">
        <v>15</v>
      </c>
      <c r="E351" s="53" t="s">
        <v>15</v>
      </c>
      <c r="F351" s="53" t="s">
        <v>15</v>
      </c>
      <c r="G351" s="53"/>
      <c r="H351" s="53" t="s">
        <v>699</v>
      </c>
      <c r="I351" s="53" t="s">
        <v>1847</v>
      </c>
      <c r="J351" s="53" t="s">
        <v>1344</v>
      </c>
      <c r="K351" s="53" t="s">
        <v>1848</v>
      </c>
      <c r="L351" s="53" t="s">
        <v>15</v>
      </c>
      <c r="M351" s="53" t="s">
        <v>15</v>
      </c>
      <c r="N351" s="53" t="s">
        <v>15</v>
      </c>
      <c r="O351" s="53" t="s">
        <v>15</v>
      </c>
    </row>
    <row r="352" spans="1:15" x14ac:dyDescent="0.25">
      <c r="A352" s="52" t="s">
        <v>4598</v>
      </c>
      <c r="B352" s="54" t="str">
        <f t="shared" si="5"/>
        <v>IC,,NATSEMI,74HC86,SO</v>
      </c>
      <c r="C352" s="53" t="s">
        <v>15</v>
      </c>
      <c r="D352" s="53" t="s">
        <v>15</v>
      </c>
      <c r="E352" s="53" t="s">
        <v>15</v>
      </c>
      <c r="F352" s="53" t="s">
        <v>15</v>
      </c>
      <c r="G352" s="53"/>
      <c r="H352" s="53" t="s">
        <v>1374</v>
      </c>
      <c r="I352" s="53" t="s">
        <v>1706</v>
      </c>
      <c r="J352" s="53" t="s">
        <v>1845</v>
      </c>
      <c r="K352" s="53" t="s">
        <v>1849</v>
      </c>
      <c r="L352" s="53" t="s">
        <v>15</v>
      </c>
      <c r="M352" s="53" t="s">
        <v>15</v>
      </c>
      <c r="N352" s="53" t="s">
        <v>15</v>
      </c>
      <c r="O352" s="53" t="s">
        <v>15</v>
      </c>
    </row>
    <row r="353" spans="1:15" x14ac:dyDescent="0.25">
      <c r="A353" s="52" t="s">
        <v>4599</v>
      </c>
      <c r="B353" s="54" t="str">
        <f t="shared" si="5"/>
        <v>IC,,TI,74V1G86,SOT25</v>
      </c>
      <c r="C353" s="53" t="s">
        <v>15</v>
      </c>
      <c r="D353" s="53" t="s">
        <v>15</v>
      </c>
      <c r="E353" s="53" t="s">
        <v>15</v>
      </c>
      <c r="F353" s="53" t="s">
        <v>15</v>
      </c>
      <c r="G353" s="53"/>
      <c r="H353" s="53" t="s">
        <v>1145</v>
      </c>
      <c r="I353" s="53" t="s">
        <v>1850</v>
      </c>
      <c r="J353" s="53" t="s">
        <v>1169</v>
      </c>
      <c r="K353" s="53" t="s">
        <v>1851</v>
      </c>
      <c r="L353" s="53" t="s">
        <v>15</v>
      </c>
      <c r="M353" s="53" t="s">
        <v>15</v>
      </c>
      <c r="N353" s="53" t="s">
        <v>15</v>
      </c>
      <c r="O353" s="53" t="s">
        <v>15</v>
      </c>
    </row>
    <row r="354" spans="1:15" x14ac:dyDescent="0.25">
      <c r="A354" s="52" t="s">
        <v>4600</v>
      </c>
      <c r="B354" s="54" t="str">
        <f t="shared" si="5"/>
        <v>IC,,TI,74V1G4066,SOT25</v>
      </c>
      <c r="C354" s="53" t="s">
        <v>15</v>
      </c>
      <c r="D354" s="53" t="s">
        <v>15</v>
      </c>
      <c r="E354" s="53" t="s">
        <v>15</v>
      </c>
      <c r="F354" s="53" t="s">
        <v>15</v>
      </c>
      <c r="G354" s="53"/>
      <c r="H354" s="53" t="s">
        <v>1145</v>
      </c>
      <c r="I354" s="53" t="s">
        <v>1852</v>
      </c>
      <c r="J354" s="53" t="s">
        <v>1169</v>
      </c>
      <c r="K354" s="53" t="s">
        <v>1853</v>
      </c>
      <c r="L354" s="53" t="s">
        <v>15</v>
      </c>
      <c r="M354" s="53" t="s">
        <v>15</v>
      </c>
      <c r="N354" s="53" t="s">
        <v>15</v>
      </c>
      <c r="O354" s="53" t="s">
        <v>15</v>
      </c>
    </row>
    <row r="355" spans="1:15" x14ac:dyDescent="0.25">
      <c r="A355" s="52" t="s">
        <v>4601</v>
      </c>
      <c r="B355" s="54" t="str">
        <f t="shared" si="5"/>
        <v>IC,,TI,74V1G08,SOT25</v>
      </c>
      <c r="C355" s="53" t="s">
        <v>15</v>
      </c>
      <c r="D355" s="53" t="s">
        <v>15</v>
      </c>
      <c r="E355" s="53" t="s">
        <v>15</v>
      </c>
      <c r="F355" s="53" t="s">
        <v>15</v>
      </c>
      <c r="G355" s="53"/>
      <c r="H355" s="53" t="s">
        <v>1145</v>
      </c>
      <c r="I355" s="53" t="s">
        <v>1854</v>
      </c>
      <c r="J355" s="53" t="s">
        <v>1169</v>
      </c>
      <c r="K355" s="53" t="s">
        <v>1855</v>
      </c>
      <c r="L355" s="53" t="s">
        <v>15</v>
      </c>
      <c r="M355" s="53" t="s">
        <v>15</v>
      </c>
      <c r="N355" s="53" t="s">
        <v>15</v>
      </c>
      <c r="O355" s="53" t="s">
        <v>15</v>
      </c>
    </row>
    <row r="356" spans="1:15" x14ac:dyDescent="0.25">
      <c r="A356" s="52" t="s">
        <v>4602</v>
      </c>
      <c r="B356" s="54" t="str">
        <f t="shared" si="5"/>
        <v>IC,,ANALOG DEVICES,AD812,SO8</v>
      </c>
      <c r="C356" s="53" t="s">
        <v>15</v>
      </c>
      <c r="D356" s="53" t="s">
        <v>15</v>
      </c>
      <c r="E356" s="53" t="s">
        <v>15</v>
      </c>
      <c r="F356" s="53" t="s">
        <v>15</v>
      </c>
      <c r="G356" s="53"/>
      <c r="H356" s="53" t="s">
        <v>1240</v>
      </c>
      <c r="I356" s="53" t="s">
        <v>1856</v>
      </c>
      <c r="J356" s="53" t="s">
        <v>1147</v>
      </c>
      <c r="K356" s="53" t="s">
        <v>1857</v>
      </c>
      <c r="L356" s="53" t="s">
        <v>15</v>
      </c>
      <c r="M356" s="53" t="s">
        <v>15</v>
      </c>
      <c r="N356" s="53" t="s">
        <v>15</v>
      </c>
      <c r="O356" s="53" t="s">
        <v>15</v>
      </c>
    </row>
    <row r="357" spans="1:15" x14ac:dyDescent="0.25">
      <c r="A357" s="52" t="s">
        <v>4603</v>
      </c>
      <c r="B357" s="54" t="str">
        <f t="shared" si="5"/>
        <v>IC,,MAXIM,MAX6383 XR24D2,SOT23</v>
      </c>
      <c r="C357" s="53" t="s">
        <v>15</v>
      </c>
      <c r="D357" s="53" t="s">
        <v>15</v>
      </c>
      <c r="E357" s="53" t="s">
        <v>15</v>
      </c>
      <c r="F357" s="53" t="s">
        <v>15</v>
      </c>
      <c r="G357" s="53"/>
      <c r="H357" s="53" t="s">
        <v>1229</v>
      </c>
      <c r="I357" s="53" t="s">
        <v>1858</v>
      </c>
      <c r="J357" s="53" t="s">
        <v>693</v>
      </c>
      <c r="K357" s="53" t="s">
        <v>1859</v>
      </c>
      <c r="L357" s="53" t="s">
        <v>15</v>
      </c>
      <c r="M357" s="53" t="s">
        <v>15</v>
      </c>
      <c r="N357" s="53" t="s">
        <v>15</v>
      </c>
      <c r="O357" s="53" t="s">
        <v>15</v>
      </c>
    </row>
    <row r="358" spans="1:15" x14ac:dyDescent="0.25">
      <c r="A358" s="52" t="s">
        <v>4604</v>
      </c>
      <c r="B358" s="54" t="str">
        <f t="shared" si="5"/>
        <v>IC,,MAXIM,MAX6103,SOT23</v>
      </c>
      <c r="C358" s="53" t="s">
        <v>15</v>
      </c>
      <c r="D358" s="53" t="s">
        <v>15</v>
      </c>
      <c r="E358" s="53" t="s">
        <v>15</v>
      </c>
      <c r="F358" s="53" t="s">
        <v>15</v>
      </c>
      <c r="G358" s="53"/>
      <c r="H358" s="53" t="s">
        <v>1229</v>
      </c>
      <c r="I358" s="53" t="s">
        <v>1860</v>
      </c>
      <c r="J358" s="53" t="s">
        <v>693</v>
      </c>
      <c r="K358" s="53" t="s">
        <v>1861</v>
      </c>
      <c r="L358" s="53" t="s">
        <v>15</v>
      </c>
      <c r="M358" s="53" t="s">
        <v>15</v>
      </c>
      <c r="N358" s="53" t="s">
        <v>15</v>
      </c>
      <c r="O358" s="53" t="s">
        <v>15</v>
      </c>
    </row>
    <row r="359" spans="1:15" x14ac:dyDescent="0.25">
      <c r="A359" s="52" t="s">
        <v>4605</v>
      </c>
      <c r="B359" s="54" t="str">
        <f t="shared" si="5"/>
        <v>IC,,ANALOG DEVICES,AD8531,SOT25</v>
      </c>
      <c r="C359" s="53" t="s">
        <v>15</v>
      </c>
      <c r="D359" s="53" t="s">
        <v>15</v>
      </c>
      <c r="E359" s="53" t="s">
        <v>15</v>
      </c>
      <c r="F359" s="53" t="s">
        <v>15</v>
      </c>
      <c r="G359" s="53"/>
      <c r="H359" s="53" t="s">
        <v>1240</v>
      </c>
      <c r="I359" s="53" t="s">
        <v>1862</v>
      </c>
      <c r="J359" s="53" t="s">
        <v>1169</v>
      </c>
      <c r="K359" s="53" t="s">
        <v>1863</v>
      </c>
      <c r="L359" s="53" t="s">
        <v>15</v>
      </c>
      <c r="M359" s="53" t="s">
        <v>15</v>
      </c>
      <c r="N359" s="53" t="s">
        <v>15</v>
      </c>
      <c r="O359" s="53" t="s">
        <v>15</v>
      </c>
    </row>
    <row r="360" spans="1:15" x14ac:dyDescent="0.25">
      <c r="A360" s="52" t="s">
        <v>4606</v>
      </c>
      <c r="B360" s="54" t="str">
        <f t="shared" si="5"/>
        <v>IC,,MAXIM,MAX6835 FXSD0-T,SOT25</v>
      </c>
      <c r="C360" s="53" t="s">
        <v>15</v>
      </c>
      <c r="D360" s="53" t="s">
        <v>15</v>
      </c>
      <c r="E360" s="53" t="s">
        <v>15</v>
      </c>
      <c r="F360" s="53" t="s">
        <v>15</v>
      </c>
      <c r="G360" s="53"/>
      <c r="H360" s="53" t="s">
        <v>1229</v>
      </c>
      <c r="I360" s="53" t="s">
        <v>1864</v>
      </c>
      <c r="J360" s="53" t="s">
        <v>1169</v>
      </c>
      <c r="K360" s="53" t="s">
        <v>1865</v>
      </c>
      <c r="L360" s="53" t="s">
        <v>15</v>
      </c>
      <c r="M360" s="53" t="s">
        <v>15</v>
      </c>
      <c r="N360" s="53" t="s">
        <v>15</v>
      </c>
      <c r="O360" s="53" t="s">
        <v>15</v>
      </c>
    </row>
    <row r="361" spans="1:15" x14ac:dyDescent="0.25">
      <c r="A361" s="52" t="s">
        <v>4607</v>
      </c>
      <c r="B361" s="54" t="str">
        <f t="shared" si="5"/>
        <v>IC,,ANALOG DEVICES,AD8531,</v>
      </c>
      <c r="C361" s="53" t="s">
        <v>15</v>
      </c>
      <c r="D361" s="53" t="s">
        <v>15</v>
      </c>
      <c r="E361" s="53" t="s">
        <v>15</v>
      </c>
      <c r="F361" s="53" t="s">
        <v>15</v>
      </c>
      <c r="G361" s="53"/>
      <c r="H361" s="53" t="s">
        <v>1240</v>
      </c>
      <c r="I361" s="53" t="s">
        <v>1862</v>
      </c>
      <c r="J361" s="53" t="s">
        <v>15</v>
      </c>
      <c r="K361" s="53" t="s">
        <v>1866</v>
      </c>
      <c r="L361" s="53" t="s">
        <v>15</v>
      </c>
      <c r="M361" s="53" t="s">
        <v>15</v>
      </c>
      <c r="N361" s="53" t="s">
        <v>15</v>
      </c>
      <c r="O361" s="53" t="s">
        <v>15</v>
      </c>
    </row>
    <row r="362" spans="1:15" x14ac:dyDescent="0.25">
      <c r="A362" s="52" t="s">
        <v>4608</v>
      </c>
      <c r="B362" s="54" t="str">
        <f t="shared" si="5"/>
        <v>IC,,MAXIM,MAX4450EUK,</v>
      </c>
      <c r="C362" s="53" t="s">
        <v>15</v>
      </c>
      <c r="D362" s="53" t="s">
        <v>15</v>
      </c>
      <c r="E362" s="53" t="s">
        <v>15</v>
      </c>
      <c r="F362" s="53" t="s">
        <v>15</v>
      </c>
      <c r="G362" s="53"/>
      <c r="H362" s="53" t="s">
        <v>1229</v>
      </c>
      <c r="I362" s="53" t="s">
        <v>1867</v>
      </c>
      <c r="J362" s="53" t="s">
        <v>15</v>
      </c>
      <c r="K362" s="53" t="s">
        <v>1868</v>
      </c>
      <c r="L362" s="53" t="s">
        <v>15</v>
      </c>
      <c r="M362" s="53" t="s">
        <v>15</v>
      </c>
      <c r="N362" s="53" t="s">
        <v>15</v>
      </c>
      <c r="O362" s="53" t="s">
        <v>15</v>
      </c>
    </row>
    <row r="363" spans="1:15" x14ac:dyDescent="0.25">
      <c r="A363" s="52" t="s">
        <v>4609</v>
      </c>
      <c r="B363" s="54" t="str">
        <f t="shared" si="5"/>
        <v>IC,,ONSEMI,MC33164,SO8</v>
      </c>
      <c r="C363" s="53" t="s">
        <v>15</v>
      </c>
      <c r="D363" s="53" t="s">
        <v>15</v>
      </c>
      <c r="E363" s="53" t="s">
        <v>15</v>
      </c>
      <c r="F363" s="53" t="s">
        <v>15</v>
      </c>
      <c r="G363" s="53"/>
      <c r="H363" s="53" t="s">
        <v>685</v>
      </c>
      <c r="I363" s="53" t="s">
        <v>1869</v>
      </c>
      <c r="J363" s="53" t="s">
        <v>1147</v>
      </c>
      <c r="K363" s="53" t="s">
        <v>1870</v>
      </c>
      <c r="L363" s="53" t="s">
        <v>15</v>
      </c>
      <c r="M363" s="53" t="s">
        <v>15</v>
      </c>
      <c r="N363" s="53" t="s">
        <v>15</v>
      </c>
      <c r="O363" s="53" t="s">
        <v>15</v>
      </c>
    </row>
    <row r="364" spans="1:15" x14ac:dyDescent="0.25">
      <c r="A364" s="52" t="s">
        <v>4610</v>
      </c>
      <c r="B364" s="54" t="str">
        <f t="shared" si="5"/>
        <v>IC,,MAXIM,MAX4450EUK,</v>
      </c>
      <c r="C364" s="53" t="s">
        <v>15</v>
      </c>
      <c r="D364" s="53" t="s">
        <v>15</v>
      </c>
      <c r="E364" s="53" t="s">
        <v>15</v>
      </c>
      <c r="F364" s="53" t="s">
        <v>15</v>
      </c>
      <c r="G364" s="53"/>
      <c r="H364" s="53" t="s">
        <v>1229</v>
      </c>
      <c r="I364" s="53" t="s">
        <v>1867</v>
      </c>
      <c r="J364" s="53" t="s">
        <v>15</v>
      </c>
      <c r="K364" s="53" t="s">
        <v>1871</v>
      </c>
      <c r="L364" s="53" t="s">
        <v>15</v>
      </c>
      <c r="M364" s="53" t="s">
        <v>15</v>
      </c>
      <c r="N364" s="53" t="s">
        <v>15</v>
      </c>
      <c r="O364" s="53" t="s">
        <v>15</v>
      </c>
    </row>
    <row r="365" spans="1:15" x14ac:dyDescent="0.25">
      <c r="A365" s="52" t="s">
        <v>4611</v>
      </c>
      <c r="B365" s="54" t="str">
        <f t="shared" si="5"/>
        <v>IC,,ST,TS431AILT,</v>
      </c>
      <c r="C365" s="53" t="s">
        <v>15</v>
      </c>
      <c r="D365" s="53" t="s">
        <v>15</v>
      </c>
      <c r="E365" s="53" t="s">
        <v>15</v>
      </c>
      <c r="F365" s="53" t="s">
        <v>15</v>
      </c>
      <c r="G365" s="53"/>
      <c r="H365" s="53" t="s">
        <v>807</v>
      </c>
      <c r="I365" s="53" t="s">
        <v>1872</v>
      </c>
      <c r="J365" s="53" t="s">
        <v>15</v>
      </c>
      <c r="K365" s="53" t="s">
        <v>1873</v>
      </c>
      <c r="L365" s="53" t="s">
        <v>15</v>
      </c>
      <c r="M365" s="53" t="s">
        <v>15</v>
      </c>
      <c r="N365" s="53" t="s">
        <v>15</v>
      </c>
      <c r="O365" s="53" t="s">
        <v>15</v>
      </c>
    </row>
    <row r="366" spans="1:15" x14ac:dyDescent="0.25">
      <c r="A366" s="52" t="s">
        <v>4612</v>
      </c>
      <c r="B366" s="54" t="str">
        <f t="shared" si="5"/>
        <v>IC,,TI,CC3000MOD,MODULE</v>
      </c>
      <c r="C366" s="53" t="s">
        <v>15</v>
      </c>
      <c r="D366" s="53" t="s">
        <v>15</v>
      </c>
      <c r="E366" s="53" t="s">
        <v>15</v>
      </c>
      <c r="F366" s="53" t="s">
        <v>15</v>
      </c>
      <c r="G366" s="53"/>
      <c r="H366" s="53" t="s">
        <v>1145</v>
      </c>
      <c r="I366" s="53" t="s">
        <v>1874</v>
      </c>
      <c r="J366" s="53" t="s">
        <v>1875</v>
      </c>
      <c r="K366" s="53" t="s">
        <v>1876</v>
      </c>
      <c r="L366" s="53" t="s">
        <v>15</v>
      </c>
      <c r="M366" s="53" t="s">
        <v>15</v>
      </c>
      <c r="N366" s="53" t="s">
        <v>15</v>
      </c>
      <c r="O366" s="53" t="s">
        <v>15</v>
      </c>
    </row>
    <row r="367" spans="1:15" x14ac:dyDescent="0.25">
      <c r="A367" s="52" t="s">
        <v>4613</v>
      </c>
      <c r="B367" s="54" t="str">
        <f t="shared" si="5"/>
        <v>IC,,HITACHI,HM62256,SO28</v>
      </c>
      <c r="C367" s="53" t="s">
        <v>15</v>
      </c>
      <c r="D367" s="53" t="s">
        <v>15</v>
      </c>
      <c r="E367" s="53" t="s">
        <v>15</v>
      </c>
      <c r="F367" s="53" t="s">
        <v>15</v>
      </c>
      <c r="G367" s="53"/>
      <c r="H367" s="53" t="s">
        <v>1805</v>
      </c>
      <c r="I367" s="53" t="s">
        <v>1877</v>
      </c>
      <c r="J367" s="53" t="s">
        <v>1878</v>
      </c>
      <c r="K367" s="53" t="s">
        <v>1879</v>
      </c>
      <c r="L367" s="53" t="s">
        <v>15</v>
      </c>
      <c r="M367" s="53" t="s">
        <v>15</v>
      </c>
      <c r="N367" s="53" t="s">
        <v>15</v>
      </c>
      <c r="O367" s="53" t="s">
        <v>15</v>
      </c>
    </row>
    <row r="368" spans="1:15" x14ac:dyDescent="0.25">
      <c r="A368" s="52" t="s">
        <v>4614</v>
      </c>
      <c r="B368" s="54" t="str">
        <f t="shared" si="5"/>
        <v>IC,,TI,74HC373,SO20</v>
      </c>
      <c r="C368" s="53" t="s">
        <v>15</v>
      </c>
      <c r="D368" s="53" t="s">
        <v>15</v>
      </c>
      <c r="E368" s="53" t="s">
        <v>15</v>
      </c>
      <c r="F368" s="53" t="s">
        <v>15</v>
      </c>
      <c r="G368" s="53"/>
      <c r="H368" s="53" t="s">
        <v>1145</v>
      </c>
      <c r="I368" s="53" t="s">
        <v>1711</v>
      </c>
      <c r="J368" s="53" t="s">
        <v>1880</v>
      </c>
      <c r="K368" s="53" t="s">
        <v>1881</v>
      </c>
      <c r="L368" s="53" t="s">
        <v>15</v>
      </c>
      <c r="M368" s="53" t="s">
        <v>15</v>
      </c>
      <c r="N368" s="53" t="s">
        <v>15</v>
      </c>
      <c r="O368" s="53" t="s">
        <v>15</v>
      </c>
    </row>
    <row r="369" spans="1:15" x14ac:dyDescent="0.25">
      <c r="A369" s="52" t="s">
        <v>4615</v>
      </c>
      <c r="B369" s="54" t="str">
        <f t="shared" si="5"/>
        <v>IC,,TI,74HC573,SO20</v>
      </c>
      <c r="C369" s="53" t="s">
        <v>15</v>
      </c>
      <c r="D369" s="53" t="s">
        <v>15</v>
      </c>
      <c r="E369" s="53" t="s">
        <v>15</v>
      </c>
      <c r="F369" s="53" t="s">
        <v>15</v>
      </c>
      <c r="G369" s="53"/>
      <c r="H369" s="53" t="s">
        <v>1145</v>
      </c>
      <c r="I369" s="53" t="s">
        <v>1357</v>
      </c>
      <c r="J369" s="53" t="s">
        <v>1880</v>
      </c>
      <c r="K369" s="53" t="s">
        <v>1882</v>
      </c>
      <c r="L369" s="53" t="s">
        <v>15</v>
      </c>
      <c r="M369" s="53" t="s">
        <v>15</v>
      </c>
      <c r="N369" s="53" t="s">
        <v>15</v>
      </c>
      <c r="O369" s="53" t="s">
        <v>15</v>
      </c>
    </row>
    <row r="370" spans="1:15" x14ac:dyDescent="0.25">
      <c r="A370" s="52" t="s">
        <v>4616</v>
      </c>
      <c r="B370" s="54" t="str">
        <f t="shared" si="5"/>
        <v>IC,,NXP,TSA5510,</v>
      </c>
      <c r="C370" s="53" t="s">
        <v>15</v>
      </c>
      <c r="D370" s="53" t="s">
        <v>15</v>
      </c>
      <c r="E370" s="53" t="s">
        <v>15</v>
      </c>
      <c r="F370" s="53" t="s">
        <v>15</v>
      </c>
      <c r="G370" s="53"/>
      <c r="H370" s="53" t="s">
        <v>699</v>
      </c>
      <c r="I370" s="53" t="s">
        <v>1883</v>
      </c>
      <c r="J370" s="53" t="s">
        <v>15</v>
      </c>
      <c r="K370" s="53" t="s">
        <v>1884</v>
      </c>
      <c r="L370" s="53" t="s">
        <v>15</v>
      </c>
      <c r="M370" s="53" t="s">
        <v>15</v>
      </c>
      <c r="N370" s="53" t="s">
        <v>15</v>
      </c>
      <c r="O370" s="53" t="s">
        <v>15</v>
      </c>
    </row>
    <row r="371" spans="1:15" x14ac:dyDescent="0.25">
      <c r="A371" s="52" t="s">
        <v>4617</v>
      </c>
      <c r="B371" s="54" t="str">
        <f t="shared" si="5"/>
        <v>IC,,,LEDTESTER PCB,</v>
      </c>
      <c r="C371" s="53" t="s">
        <v>15</v>
      </c>
      <c r="D371" s="53" t="s">
        <v>15</v>
      </c>
      <c r="E371" s="53" t="s">
        <v>15</v>
      </c>
      <c r="F371" s="53" t="s">
        <v>15</v>
      </c>
      <c r="G371" s="53"/>
      <c r="H371" s="53" t="s">
        <v>15</v>
      </c>
      <c r="I371" s="53" t="s">
        <v>1885</v>
      </c>
      <c r="J371" s="53" t="s">
        <v>15</v>
      </c>
      <c r="K371" s="53" t="s">
        <v>1886</v>
      </c>
      <c r="L371" s="53" t="s">
        <v>15</v>
      </c>
      <c r="M371" s="53" t="s">
        <v>15</v>
      </c>
      <c r="N371" s="53" t="s">
        <v>15</v>
      </c>
      <c r="O371" s="53" t="s">
        <v>15</v>
      </c>
    </row>
    <row r="372" spans="1:15" x14ac:dyDescent="0.25">
      <c r="A372" s="52" t="s">
        <v>4618</v>
      </c>
      <c r="B372" s="54" t="str">
        <f t="shared" si="5"/>
        <v>IC,,SILABS,SI4705-D60-GU-ND,</v>
      </c>
      <c r="C372" s="53" t="s">
        <v>15</v>
      </c>
      <c r="D372" s="53" t="s">
        <v>15</v>
      </c>
      <c r="E372" s="53" t="s">
        <v>15</v>
      </c>
      <c r="F372" s="53" t="s">
        <v>15</v>
      </c>
      <c r="G372" s="53"/>
      <c r="H372" s="53" t="s">
        <v>1887</v>
      </c>
      <c r="I372" s="53" t="s">
        <v>1888</v>
      </c>
      <c r="J372" s="53" t="s">
        <v>15</v>
      </c>
      <c r="K372" s="53" t="s">
        <v>1889</v>
      </c>
      <c r="L372" s="53" t="s">
        <v>15</v>
      </c>
      <c r="M372" s="53" t="s">
        <v>15</v>
      </c>
      <c r="N372" s="53" t="s">
        <v>15</v>
      </c>
      <c r="O372" s="53" t="s">
        <v>15</v>
      </c>
    </row>
    <row r="373" spans="1:15" x14ac:dyDescent="0.25">
      <c r="A373" s="52" t="s">
        <v>4619</v>
      </c>
      <c r="B373" s="54" t="str">
        <f t="shared" si="5"/>
        <v>IC,,TI,74HC574,</v>
      </c>
      <c r="C373" s="53" t="s">
        <v>15</v>
      </c>
      <c r="D373" s="53" t="s">
        <v>15</v>
      </c>
      <c r="E373" s="53" t="s">
        <v>15</v>
      </c>
      <c r="F373" s="53" t="s">
        <v>15</v>
      </c>
      <c r="G373" s="53"/>
      <c r="H373" s="53" t="s">
        <v>1145</v>
      </c>
      <c r="I373" s="53" t="s">
        <v>1890</v>
      </c>
      <c r="J373" s="53" t="s">
        <v>15</v>
      </c>
      <c r="K373" s="53" t="s">
        <v>1891</v>
      </c>
      <c r="L373" s="53" t="s">
        <v>15</v>
      </c>
      <c r="M373" s="53" t="s">
        <v>15</v>
      </c>
      <c r="N373" s="53" t="s">
        <v>15</v>
      </c>
      <c r="O373" s="53" t="s">
        <v>15</v>
      </c>
    </row>
    <row r="374" spans="1:15" x14ac:dyDescent="0.25">
      <c r="A374" s="52" t="s">
        <v>4620</v>
      </c>
      <c r="B374" s="54" t="str">
        <f t="shared" si="5"/>
        <v>IC,,NATSEMI,LF442,DIP8</v>
      </c>
      <c r="C374" s="53" t="s">
        <v>15</v>
      </c>
      <c r="D374" s="53" t="s">
        <v>15</v>
      </c>
      <c r="E374" s="53" t="s">
        <v>423</v>
      </c>
      <c r="F374" s="53" t="s">
        <v>15</v>
      </c>
      <c r="G374" s="53"/>
      <c r="H374" s="53" t="s">
        <v>1374</v>
      </c>
      <c r="I374" s="53" t="s">
        <v>1892</v>
      </c>
      <c r="J374" s="53" t="s">
        <v>423</v>
      </c>
      <c r="K374" s="53" t="s">
        <v>1893</v>
      </c>
      <c r="L374" s="53" t="s">
        <v>15</v>
      </c>
      <c r="M374" s="53" t="s">
        <v>15</v>
      </c>
      <c r="N374" s="53" t="s">
        <v>15</v>
      </c>
      <c r="O374" s="53" t="s">
        <v>15</v>
      </c>
    </row>
    <row r="375" spans="1:15" x14ac:dyDescent="0.25">
      <c r="A375" s="52" t="s">
        <v>4621</v>
      </c>
      <c r="B375" s="54" t="str">
        <f t="shared" si="5"/>
        <v>IC,,ATMEL,24C01,DIP8</v>
      </c>
      <c r="C375" s="53" t="s">
        <v>15</v>
      </c>
      <c r="D375" s="53" t="s">
        <v>15</v>
      </c>
      <c r="E375" s="53" t="s">
        <v>423</v>
      </c>
      <c r="F375" s="53" t="s">
        <v>15</v>
      </c>
      <c r="G375" s="53"/>
      <c r="H375" s="53" t="s">
        <v>1236</v>
      </c>
      <c r="I375" s="53" t="s">
        <v>1894</v>
      </c>
      <c r="J375" s="53" t="s">
        <v>423</v>
      </c>
      <c r="K375" s="53" t="s">
        <v>1895</v>
      </c>
      <c r="L375" s="53" t="s">
        <v>15</v>
      </c>
      <c r="M375" s="53" t="s">
        <v>15</v>
      </c>
      <c r="N375" s="53" t="s">
        <v>15</v>
      </c>
      <c r="O375" s="53" t="s">
        <v>15</v>
      </c>
    </row>
    <row r="376" spans="1:15" x14ac:dyDescent="0.25">
      <c r="A376" s="52" t="s">
        <v>4622</v>
      </c>
      <c r="B376" s="54" t="str">
        <f t="shared" si="5"/>
        <v>IC,,,SSP1117-5.0,SOT223</v>
      </c>
      <c r="C376" s="53" t="s">
        <v>15</v>
      </c>
      <c r="D376" s="53" t="s">
        <v>15</v>
      </c>
      <c r="E376" s="53" t="s">
        <v>15</v>
      </c>
      <c r="F376" s="53" t="s">
        <v>15</v>
      </c>
      <c r="G376" s="53"/>
      <c r="H376" s="53" t="s">
        <v>15</v>
      </c>
      <c r="I376" s="53" t="s">
        <v>1896</v>
      </c>
      <c r="J376" s="53" t="s">
        <v>1280</v>
      </c>
      <c r="K376" s="53" t="s">
        <v>1897</v>
      </c>
      <c r="L376" s="53" t="s">
        <v>521</v>
      </c>
      <c r="M376" s="53" t="s">
        <v>1898</v>
      </c>
      <c r="N376" s="53" t="s">
        <v>15</v>
      </c>
      <c r="O376" s="53" t="s">
        <v>15</v>
      </c>
    </row>
    <row r="377" spans="1:15" x14ac:dyDescent="0.25">
      <c r="A377" s="52" t="s">
        <v>4623</v>
      </c>
      <c r="B377" s="54" t="str">
        <f t="shared" si="5"/>
        <v>IC,,ALTERA,EPM7160SLC84,PLCC84</v>
      </c>
      <c r="C377" s="53" t="s">
        <v>15</v>
      </c>
      <c r="D377" s="53" t="s">
        <v>15</v>
      </c>
      <c r="E377" s="53" t="s">
        <v>15</v>
      </c>
      <c r="F377" s="53" t="s">
        <v>15</v>
      </c>
      <c r="G377" s="53"/>
      <c r="H377" s="53" t="s">
        <v>1567</v>
      </c>
      <c r="I377" s="53" t="s">
        <v>1899</v>
      </c>
      <c r="J377" s="53" t="s">
        <v>1900</v>
      </c>
      <c r="K377" s="53" t="s">
        <v>1901</v>
      </c>
      <c r="L377" s="53" t="s">
        <v>15</v>
      </c>
      <c r="M377" s="53" t="s">
        <v>15</v>
      </c>
      <c r="N377" s="53" t="s">
        <v>15</v>
      </c>
      <c r="O377" s="53" t="s">
        <v>15</v>
      </c>
    </row>
    <row r="378" spans="1:15" x14ac:dyDescent="0.25">
      <c r="A378" s="52" t="s">
        <v>4624</v>
      </c>
      <c r="B378" s="54" t="str">
        <f t="shared" si="5"/>
        <v>IC,,NXP,PCF8574A,SO16W</v>
      </c>
      <c r="C378" s="53" t="s">
        <v>15</v>
      </c>
      <c r="D378" s="53" t="s">
        <v>15</v>
      </c>
      <c r="E378" s="53" t="s">
        <v>15</v>
      </c>
      <c r="F378" s="53" t="s">
        <v>15</v>
      </c>
      <c r="G378" s="53"/>
      <c r="H378" s="53" t="s">
        <v>699</v>
      </c>
      <c r="I378" s="53" t="s">
        <v>1902</v>
      </c>
      <c r="J378" s="53" t="s">
        <v>1165</v>
      </c>
      <c r="K378" s="53" t="s">
        <v>1903</v>
      </c>
      <c r="L378" s="53" t="s">
        <v>15</v>
      </c>
      <c r="M378" s="53" t="s">
        <v>15</v>
      </c>
      <c r="N378" s="53" t="s">
        <v>15</v>
      </c>
      <c r="O378" s="53" t="s">
        <v>15</v>
      </c>
    </row>
    <row r="379" spans="1:15" x14ac:dyDescent="0.25">
      <c r="A379" s="52" t="s">
        <v>4625</v>
      </c>
      <c r="B379" s="54" t="str">
        <f t="shared" si="5"/>
        <v>IC,,NXP,PCF8582E,DIP8</v>
      </c>
      <c r="C379" s="53" t="s">
        <v>15</v>
      </c>
      <c r="D379" s="53" t="s">
        <v>15</v>
      </c>
      <c r="E379" s="53" t="s">
        <v>15</v>
      </c>
      <c r="F379" s="53" t="s">
        <v>15</v>
      </c>
      <c r="G379" s="53"/>
      <c r="H379" s="53" t="s">
        <v>699</v>
      </c>
      <c r="I379" s="53" t="s">
        <v>1904</v>
      </c>
      <c r="J379" s="53" t="s">
        <v>423</v>
      </c>
      <c r="K379" s="53" t="s">
        <v>1905</v>
      </c>
      <c r="L379" s="53" t="s">
        <v>15</v>
      </c>
      <c r="M379" s="53" t="s">
        <v>15</v>
      </c>
      <c r="N379" s="53" t="s">
        <v>15</v>
      </c>
      <c r="O379" s="53" t="s">
        <v>15</v>
      </c>
    </row>
    <row r="380" spans="1:15" x14ac:dyDescent="0.25">
      <c r="A380" s="52" t="s">
        <v>4626</v>
      </c>
      <c r="B380" s="54" t="str">
        <f t="shared" si="5"/>
        <v>IC,,ANALOG DEVICES,AD7245,DIP24S</v>
      </c>
      <c r="C380" s="53" t="s">
        <v>15</v>
      </c>
      <c r="D380" s="53" t="s">
        <v>15</v>
      </c>
      <c r="E380" s="53" t="s">
        <v>15</v>
      </c>
      <c r="F380" s="53" t="s">
        <v>15</v>
      </c>
      <c r="G380" s="53"/>
      <c r="H380" s="53" t="s">
        <v>1240</v>
      </c>
      <c r="I380" s="53" t="s">
        <v>1906</v>
      </c>
      <c r="J380" s="53" t="s">
        <v>1907</v>
      </c>
      <c r="K380" s="53" t="s">
        <v>1908</v>
      </c>
      <c r="L380" s="53" t="s">
        <v>15</v>
      </c>
      <c r="M380" s="53" t="s">
        <v>15</v>
      </c>
      <c r="N380" s="53" t="s">
        <v>15</v>
      </c>
      <c r="O380" s="53" t="s">
        <v>15</v>
      </c>
    </row>
    <row r="381" spans="1:15" x14ac:dyDescent="0.25">
      <c r="A381" s="52" t="s">
        <v>4627</v>
      </c>
      <c r="B381" s="54" t="str">
        <f t="shared" si="5"/>
        <v>IC,,TI,LM393,DIP8</v>
      </c>
      <c r="C381" s="53" t="s">
        <v>15</v>
      </c>
      <c r="D381" s="53" t="s">
        <v>15</v>
      </c>
      <c r="E381" s="53" t="s">
        <v>15</v>
      </c>
      <c r="F381" s="53" t="s">
        <v>15</v>
      </c>
      <c r="G381" s="53"/>
      <c r="H381" s="53" t="s">
        <v>1145</v>
      </c>
      <c r="I381" s="53" t="s">
        <v>1401</v>
      </c>
      <c r="J381" s="53" t="s">
        <v>423</v>
      </c>
      <c r="K381" s="53" t="s">
        <v>1909</v>
      </c>
      <c r="L381" s="53" t="s">
        <v>15</v>
      </c>
      <c r="M381" s="53" t="s">
        <v>15</v>
      </c>
      <c r="N381" s="53" t="s">
        <v>15</v>
      </c>
      <c r="O381" s="53" t="s">
        <v>15</v>
      </c>
    </row>
    <row r="382" spans="1:15" x14ac:dyDescent="0.25">
      <c r="A382" s="52" t="s">
        <v>4628</v>
      </c>
      <c r="B382" s="54" t="str">
        <f t="shared" si="5"/>
        <v>IC,,LINEAR TECHNOLOGIES,LT1085-3.3,TO220</v>
      </c>
      <c r="C382" s="53" t="s">
        <v>15</v>
      </c>
      <c r="D382" s="53" t="s">
        <v>15</v>
      </c>
      <c r="E382" s="53" t="s">
        <v>15</v>
      </c>
      <c r="F382" s="53" t="s">
        <v>15</v>
      </c>
      <c r="G382" s="53"/>
      <c r="H382" s="53" t="s">
        <v>1247</v>
      </c>
      <c r="I382" s="53" t="s">
        <v>1910</v>
      </c>
      <c r="J382" s="53" t="s">
        <v>780</v>
      </c>
      <c r="K382" s="53" t="s">
        <v>1911</v>
      </c>
      <c r="L382" s="53" t="s">
        <v>15</v>
      </c>
      <c r="M382" s="53" t="s">
        <v>15</v>
      </c>
      <c r="N382" s="53" t="s">
        <v>15</v>
      </c>
      <c r="O382" s="53" t="s">
        <v>15</v>
      </c>
    </row>
    <row r="383" spans="1:15" x14ac:dyDescent="0.25">
      <c r="A383" s="52" t="s">
        <v>4629</v>
      </c>
      <c r="B383" s="54" t="str">
        <f t="shared" si="5"/>
        <v>IC,,TI,74LS08,DIP14</v>
      </c>
      <c r="C383" s="53" t="s">
        <v>15</v>
      </c>
      <c r="D383" s="53" t="s">
        <v>15</v>
      </c>
      <c r="E383" s="53" t="s">
        <v>428</v>
      </c>
      <c r="F383" s="53" t="s">
        <v>15</v>
      </c>
      <c r="G383" s="53"/>
      <c r="H383" s="53" t="s">
        <v>1145</v>
      </c>
      <c r="I383" s="53" t="s">
        <v>1912</v>
      </c>
      <c r="J383" s="53" t="s">
        <v>428</v>
      </c>
      <c r="K383" s="53" t="s">
        <v>1913</v>
      </c>
      <c r="L383" s="53" t="s">
        <v>15</v>
      </c>
      <c r="M383" s="53" t="s">
        <v>15</v>
      </c>
      <c r="N383" s="53" t="s">
        <v>15</v>
      </c>
      <c r="O383" s="53" t="s">
        <v>15</v>
      </c>
    </row>
    <row r="384" spans="1:15" x14ac:dyDescent="0.25">
      <c r="A384" s="52" t="s">
        <v>4630</v>
      </c>
      <c r="B384" s="54" t="str">
        <f t="shared" si="5"/>
        <v>IC,,INTEL,87C51,PLCC44</v>
      </c>
      <c r="C384" s="53" t="s">
        <v>15</v>
      </c>
      <c r="D384" s="53" t="s">
        <v>15</v>
      </c>
      <c r="E384" s="53" t="s">
        <v>15</v>
      </c>
      <c r="F384" s="53" t="s">
        <v>15</v>
      </c>
      <c r="G384" s="53"/>
      <c r="H384" s="53" t="s">
        <v>1914</v>
      </c>
      <c r="I384" s="53" t="s">
        <v>1915</v>
      </c>
      <c r="J384" s="53" t="s">
        <v>1320</v>
      </c>
      <c r="K384" s="53" t="s">
        <v>1916</v>
      </c>
      <c r="L384" s="53" t="s">
        <v>15</v>
      </c>
      <c r="M384" s="53" t="s">
        <v>15</v>
      </c>
      <c r="N384" s="53" t="s">
        <v>15</v>
      </c>
      <c r="O384" s="53" t="s">
        <v>15</v>
      </c>
    </row>
    <row r="385" spans="1:15" x14ac:dyDescent="0.25">
      <c r="A385" s="52" t="s">
        <v>4631</v>
      </c>
      <c r="B385" s="54" t="str">
        <f t="shared" si="5"/>
        <v>IC,,CYPRESS,CY62256-70,SO28</v>
      </c>
      <c r="C385" s="53" t="s">
        <v>15</v>
      </c>
      <c r="D385" s="53" t="s">
        <v>15</v>
      </c>
      <c r="E385" s="53" t="s">
        <v>15</v>
      </c>
      <c r="F385" s="53" t="s">
        <v>15</v>
      </c>
      <c r="G385" s="53"/>
      <c r="H385" s="53" t="s">
        <v>1917</v>
      </c>
      <c r="I385" s="53" t="s">
        <v>1918</v>
      </c>
      <c r="J385" s="53" t="s">
        <v>1878</v>
      </c>
      <c r="K385" s="53" t="s">
        <v>1919</v>
      </c>
      <c r="L385" s="53" t="s">
        <v>15</v>
      </c>
      <c r="M385" s="53" t="s">
        <v>15</v>
      </c>
      <c r="N385" s="53" t="s">
        <v>15</v>
      </c>
      <c r="O385" s="53" t="s">
        <v>15</v>
      </c>
    </row>
    <row r="386" spans="1:15" x14ac:dyDescent="0.25">
      <c r="A386" s="52" t="s">
        <v>4632</v>
      </c>
      <c r="B386" s="54" t="str">
        <f t="shared" si="5"/>
        <v>IC,,TI,74LS02,DIP14</v>
      </c>
      <c r="C386" s="53" t="s">
        <v>15</v>
      </c>
      <c r="D386" s="53" t="s">
        <v>15</v>
      </c>
      <c r="E386" s="53" t="s">
        <v>428</v>
      </c>
      <c r="F386" s="53" t="s">
        <v>15</v>
      </c>
      <c r="G386" s="53"/>
      <c r="H386" s="53" t="s">
        <v>1145</v>
      </c>
      <c r="I386" s="53" t="s">
        <v>1920</v>
      </c>
      <c r="J386" s="53" t="s">
        <v>428</v>
      </c>
      <c r="K386" s="53" t="s">
        <v>1921</v>
      </c>
      <c r="L386" s="53" t="s">
        <v>15</v>
      </c>
      <c r="M386" s="53" t="s">
        <v>15</v>
      </c>
      <c r="N386" s="53" t="s">
        <v>15</v>
      </c>
      <c r="O386" s="53" t="s">
        <v>15</v>
      </c>
    </row>
    <row r="387" spans="1:15" x14ac:dyDescent="0.25">
      <c r="A387" s="52" t="s">
        <v>4633</v>
      </c>
      <c r="B387" s="54" t="str">
        <f t="shared" ref="B387:B450" si="6">_xlfn.CONCAT("IC,",G387,",",H387,",",I387,",",J387)</f>
        <v>IC,,NATSEMI,LF356,DIP8</v>
      </c>
      <c r="C387" s="53" t="s">
        <v>15</v>
      </c>
      <c r="D387" s="53" t="s">
        <v>15</v>
      </c>
      <c r="E387" s="53" t="s">
        <v>423</v>
      </c>
      <c r="F387" s="53" t="s">
        <v>15</v>
      </c>
      <c r="G387" s="53"/>
      <c r="H387" s="53" t="s">
        <v>1374</v>
      </c>
      <c r="I387" s="53" t="s">
        <v>1922</v>
      </c>
      <c r="J387" s="53" t="s">
        <v>423</v>
      </c>
      <c r="K387" s="53" t="s">
        <v>1923</v>
      </c>
      <c r="L387" s="53" t="s">
        <v>15</v>
      </c>
      <c r="M387" s="53" t="s">
        <v>15</v>
      </c>
      <c r="N387" s="53" t="s">
        <v>15</v>
      </c>
      <c r="O387" s="53" t="s">
        <v>15</v>
      </c>
    </row>
    <row r="388" spans="1:15" x14ac:dyDescent="0.25">
      <c r="A388" s="52" t="s">
        <v>4634</v>
      </c>
      <c r="B388" s="54" t="str">
        <f t="shared" si="6"/>
        <v>IC,,TI,74F00,DIP14</v>
      </c>
      <c r="C388" s="53" t="s">
        <v>15</v>
      </c>
      <c r="D388" s="53" t="s">
        <v>15</v>
      </c>
      <c r="E388" s="53" t="s">
        <v>428</v>
      </c>
      <c r="F388" s="53" t="s">
        <v>15</v>
      </c>
      <c r="G388" s="53"/>
      <c r="H388" s="53" t="s">
        <v>1145</v>
      </c>
      <c r="I388" s="53" t="s">
        <v>1924</v>
      </c>
      <c r="J388" s="53" t="s">
        <v>428</v>
      </c>
      <c r="K388" s="53" t="s">
        <v>1925</v>
      </c>
      <c r="L388" s="53" t="s">
        <v>15</v>
      </c>
      <c r="M388" s="53" t="s">
        <v>15</v>
      </c>
      <c r="N388" s="53" t="s">
        <v>15</v>
      </c>
      <c r="O388" s="53" t="s">
        <v>15</v>
      </c>
    </row>
    <row r="389" spans="1:15" x14ac:dyDescent="0.25">
      <c r="A389" s="52" t="s">
        <v>4635</v>
      </c>
      <c r="B389" s="54" t="str">
        <f t="shared" si="6"/>
        <v>IC,,FAIRCHILD,MOC3020,DIP6</v>
      </c>
      <c r="C389" s="53" t="s">
        <v>15</v>
      </c>
      <c r="D389" s="53" t="s">
        <v>15</v>
      </c>
      <c r="E389" s="53" t="s">
        <v>15</v>
      </c>
      <c r="F389" s="53" t="s">
        <v>15</v>
      </c>
      <c r="G389" s="53"/>
      <c r="H389" s="53" t="s">
        <v>764</v>
      </c>
      <c r="I389" s="53" t="s">
        <v>1926</v>
      </c>
      <c r="J389" s="53" t="s">
        <v>1762</v>
      </c>
      <c r="K389" s="53" t="s">
        <v>1927</v>
      </c>
      <c r="L389" s="53" t="s">
        <v>15</v>
      </c>
      <c r="M389" s="53" t="s">
        <v>15</v>
      </c>
      <c r="N389" s="53" t="s">
        <v>15</v>
      </c>
      <c r="O389" s="53" t="s">
        <v>15</v>
      </c>
    </row>
    <row r="390" spans="1:15" x14ac:dyDescent="0.25">
      <c r="A390" s="52" t="s">
        <v>4636</v>
      </c>
      <c r="B390" s="54" t="str">
        <f t="shared" si="6"/>
        <v>IC,,ST,SA555,DIP8</v>
      </c>
      <c r="C390" s="53" t="s">
        <v>15</v>
      </c>
      <c r="D390" s="53" t="s">
        <v>15</v>
      </c>
      <c r="E390" s="53" t="s">
        <v>423</v>
      </c>
      <c r="F390" s="53" t="s">
        <v>15</v>
      </c>
      <c r="G390" s="53"/>
      <c r="H390" s="53" t="s">
        <v>807</v>
      </c>
      <c r="I390" s="53" t="s">
        <v>1928</v>
      </c>
      <c r="J390" s="53" t="s">
        <v>423</v>
      </c>
      <c r="K390" s="53" t="s">
        <v>1929</v>
      </c>
      <c r="L390" s="53" t="s">
        <v>15</v>
      </c>
      <c r="M390" s="53" t="s">
        <v>15</v>
      </c>
      <c r="N390" s="53" t="s">
        <v>15</v>
      </c>
      <c r="O390" s="53" t="s">
        <v>15</v>
      </c>
    </row>
    <row r="391" spans="1:15" x14ac:dyDescent="0.25">
      <c r="A391" s="52" t="s">
        <v>4637</v>
      </c>
      <c r="B391" s="54" t="str">
        <f t="shared" si="6"/>
        <v>IC,,TI,TL061,DIP8</v>
      </c>
      <c r="C391" s="53" t="s">
        <v>15</v>
      </c>
      <c r="D391" s="53" t="s">
        <v>15</v>
      </c>
      <c r="E391" s="53" t="s">
        <v>423</v>
      </c>
      <c r="F391" s="53" t="s">
        <v>15</v>
      </c>
      <c r="G391" s="53"/>
      <c r="H391" s="53" t="s">
        <v>1145</v>
      </c>
      <c r="I391" s="53" t="s">
        <v>1930</v>
      </c>
      <c r="J391" s="53" t="s">
        <v>423</v>
      </c>
      <c r="K391" s="53" t="s">
        <v>1931</v>
      </c>
      <c r="L391" s="53" t="s">
        <v>15</v>
      </c>
      <c r="M391" s="53" t="s">
        <v>15</v>
      </c>
      <c r="N391" s="53" t="s">
        <v>15</v>
      </c>
      <c r="O391" s="53" t="s">
        <v>15</v>
      </c>
    </row>
    <row r="392" spans="1:15" x14ac:dyDescent="0.25">
      <c r="A392" s="52" t="s">
        <v>4638</v>
      </c>
      <c r="B392" s="54" t="str">
        <f t="shared" si="6"/>
        <v>IC,,TI,SN75158,DIP8</v>
      </c>
      <c r="C392" s="53" t="s">
        <v>15</v>
      </c>
      <c r="D392" s="53" t="s">
        <v>15</v>
      </c>
      <c r="E392" s="53" t="s">
        <v>423</v>
      </c>
      <c r="F392" s="53" t="s">
        <v>15</v>
      </c>
      <c r="G392" s="53"/>
      <c r="H392" s="53" t="s">
        <v>1145</v>
      </c>
      <c r="I392" s="53" t="s">
        <v>1932</v>
      </c>
      <c r="J392" s="53" t="s">
        <v>423</v>
      </c>
      <c r="K392" s="53" t="s">
        <v>1933</v>
      </c>
      <c r="L392" s="53" t="s">
        <v>15</v>
      </c>
      <c r="M392" s="53" t="s">
        <v>15</v>
      </c>
      <c r="N392" s="53" t="s">
        <v>15</v>
      </c>
      <c r="O392" s="53" t="s">
        <v>15</v>
      </c>
    </row>
    <row r="393" spans="1:15" x14ac:dyDescent="0.25">
      <c r="A393" s="52" t="s">
        <v>4639</v>
      </c>
      <c r="B393" s="54" t="str">
        <f t="shared" si="6"/>
        <v>IC,,NXP,TDA7052,DIP8</v>
      </c>
      <c r="C393" s="53" t="s">
        <v>15</v>
      </c>
      <c r="D393" s="53" t="s">
        <v>15</v>
      </c>
      <c r="E393" s="53" t="s">
        <v>423</v>
      </c>
      <c r="F393" s="53" t="s">
        <v>15</v>
      </c>
      <c r="G393" s="53"/>
      <c r="H393" s="53" t="s">
        <v>699</v>
      </c>
      <c r="I393" s="53" t="s">
        <v>1934</v>
      </c>
      <c r="J393" s="53" t="s">
        <v>423</v>
      </c>
      <c r="K393" s="53" t="s">
        <v>1935</v>
      </c>
      <c r="L393" s="53" t="s">
        <v>15</v>
      </c>
      <c r="M393" s="53" t="s">
        <v>15</v>
      </c>
      <c r="N393" s="53" t="s">
        <v>15</v>
      </c>
      <c r="O393" s="53" t="s">
        <v>15</v>
      </c>
    </row>
    <row r="394" spans="1:15" x14ac:dyDescent="0.25">
      <c r="A394" s="52" t="s">
        <v>4640</v>
      </c>
      <c r="B394" s="54" t="str">
        <f t="shared" si="6"/>
        <v>IC,,TI,74LS390,DIP16</v>
      </c>
      <c r="C394" s="53" t="s">
        <v>15</v>
      </c>
      <c r="D394" s="53" t="s">
        <v>15</v>
      </c>
      <c r="E394" s="53" t="s">
        <v>15</v>
      </c>
      <c r="F394" s="53" t="s">
        <v>15</v>
      </c>
      <c r="G394" s="53"/>
      <c r="H394" s="53" t="s">
        <v>1145</v>
      </c>
      <c r="I394" s="53" t="s">
        <v>1936</v>
      </c>
      <c r="J394" s="53" t="s">
        <v>432</v>
      </c>
      <c r="K394" s="53" t="s">
        <v>1937</v>
      </c>
      <c r="L394" s="53" t="s">
        <v>15</v>
      </c>
      <c r="M394" s="53" t="s">
        <v>15</v>
      </c>
      <c r="N394" s="53" t="s">
        <v>15</v>
      </c>
      <c r="O394" s="53" t="s">
        <v>15</v>
      </c>
    </row>
    <row r="395" spans="1:15" x14ac:dyDescent="0.25">
      <c r="A395" s="52" t="s">
        <v>4641</v>
      </c>
      <c r="B395" s="54" t="str">
        <f t="shared" si="6"/>
        <v>IC,,TI,74LS244,DIP20</v>
      </c>
      <c r="C395" s="53" t="s">
        <v>15</v>
      </c>
      <c r="D395" s="53" t="s">
        <v>15</v>
      </c>
      <c r="E395" s="53" t="s">
        <v>15</v>
      </c>
      <c r="F395" s="53" t="s">
        <v>15</v>
      </c>
      <c r="G395" s="53"/>
      <c r="H395" s="53" t="s">
        <v>1145</v>
      </c>
      <c r="I395" s="53" t="s">
        <v>1938</v>
      </c>
      <c r="J395" s="53" t="s">
        <v>440</v>
      </c>
      <c r="K395" s="53" t="s">
        <v>1939</v>
      </c>
      <c r="L395" s="53" t="s">
        <v>15</v>
      </c>
      <c r="M395" s="53" t="s">
        <v>15</v>
      </c>
      <c r="N395" s="53" t="s">
        <v>15</v>
      </c>
      <c r="O395" s="53" t="s">
        <v>15</v>
      </c>
    </row>
    <row r="396" spans="1:15" x14ac:dyDescent="0.25">
      <c r="A396" s="52" t="s">
        <v>4642</v>
      </c>
      <c r="B396" s="54" t="str">
        <f t="shared" si="6"/>
        <v>IC,,TI,74LS374,DIP20</v>
      </c>
      <c r="C396" s="53" t="s">
        <v>15</v>
      </c>
      <c r="D396" s="53" t="s">
        <v>15</v>
      </c>
      <c r="E396" s="53" t="s">
        <v>15</v>
      </c>
      <c r="F396" s="53" t="s">
        <v>15</v>
      </c>
      <c r="G396" s="53"/>
      <c r="H396" s="53" t="s">
        <v>1145</v>
      </c>
      <c r="I396" s="53" t="s">
        <v>1940</v>
      </c>
      <c r="J396" s="53" t="s">
        <v>440</v>
      </c>
      <c r="K396" s="53" t="s">
        <v>1941</v>
      </c>
      <c r="L396" s="53" t="s">
        <v>15</v>
      </c>
      <c r="M396" s="53" t="s">
        <v>15</v>
      </c>
      <c r="N396" s="53" t="s">
        <v>15</v>
      </c>
      <c r="O396" s="53" t="s">
        <v>15</v>
      </c>
    </row>
    <row r="397" spans="1:15" x14ac:dyDescent="0.25">
      <c r="A397" s="52" t="s">
        <v>4643</v>
      </c>
      <c r="B397" s="54" t="str">
        <f t="shared" si="6"/>
        <v>IC,,NATSEMI,LF347,DIP14</v>
      </c>
      <c r="C397" s="53" t="s">
        <v>15</v>
      </c>
      <c r="D397" s="53" t="s">
        <v>15</v>
      </c>
      <c r="E397" s="53" t="s">
        <v>428</v>
      </c>
      <c r="F397" s="53" t="s">
        <v>15</v>
      </c>
      <c r="G397" s="53"/>
      <c r="H397" s="53" t="s">
        <v>1374</v>
      </c>
      <c r="I397" s="53" t="s">
        <v>1942</v>
      </c>
      <c r="J397" s="53" t="s">
        <v>428</v>
      </c>
      <c r="K397" s="53" t="s">
        <v>1943</v>
      </c>
      <c r="L397" s="53" t="s">
        <v>15</v>
      </c>
      <c r="M397" s="53" t="s">
        <v>15</v>
      </c>
      <c r="N397" s="53" t="s">
        <v>15</v>
      </c>
      <c r="O397" s="53" t="s">
        <v>15</v>
      </c>
    </row>
    <row r="398" spans="1:15" x14ac:dyDescent="0.25">
      <c r="A398" s="52" t="s">
        <v>4644</v>
      </c>
      <c r="B398" s="54" t="str">
        <f t="shared" si="6"/>
        <v>IC,,RCA,CA3140,DIP8</v>
      </c>
      <c r="C398" s="53" t="s">
        <v>15</v>
      </c>
      <c r="D398" s="53" t="s">
        <v>15</v>
      </c>
      <c r="E398" s="53" t="s">
        <v>423</v>
      </c>
      <c r="F398" s="53" t="s">
        <v>15</v>
      </c>
      <c r="G398" s="53"/>
      <c r="H398" s="53" t="s">
        <v>1944</v>
      </c>
      <c r="I398" s="53" t="s">
        <v>1945</v>
      </c>
      <c r="J398" s="53" t="s">
        <v>423</v>
      </c>
      <c r="K398" s="53" t="s">
        <v>1946</v>
      </c>
      <c r="L398" s="53" t="s">
        <v>15</v>
      </c>
      <c r="M398" s="53" t="s">
        <v>15</v>
      </c>
      <c r="N398" s="53" t="s">
        <v>15</v>
      </c>
      <c r="O398" s="53" t="s">
        <v>15</v>
      </c>
    </row>
    <row r="399" spans="1:15" x14ac:dyDescent="0.25">
      <c r="A399" s="52" t="s">
        <v>4645</v>
      </c>
      <c r="B399" s="54" t="str">
        <f t="shared" si="6"/>
        <v>IC,,NATSEMI,LF411,DIP8</v>
      </c>
      <c r="C399" s="53" t="s">
        <v>15</v>
      </c>
      <c r="D399" s="53" t="s">
        <v>15</v>
      </c>
      <c r="E399" s="53" t="s">
        <v>423</v>
      </c>
      <c r="F399" s="53" t="s">
        <v>15</v>
      </c>
      <c r="G399" s="53"/>
      <c r="H399" s="53" t="s">
        <v>1374</v>
      </c>
      <c r="I399" s="53" t="s">
        <v>1947</v>
      </c>
      <c r="J399" s="53" t="s">
        <v>423</v>
      </c>
      <c r="K399" s="53" t="s">
        <v>1948</v>
      </c>
      <c r="L399" s="53" t="s">
        <v>15</v>
      </c>
      <c r="M399" s="53" t="s">
        <v>15</v>
      </c>
      <c r="N399" s="53" t="s">
        <v>15</v>
      </c>
      <c r="O399" s="53" t="s">
        <v>15</v>
      </c>
    </row>
    <row r="400" spans="1:15" x14ac:dyDescent="0.25">
      <c r="A400" s="52" t="s">
        <v>4646</v>
      </c>
      <c r="B400" s="54" t="str">
        <f t="shared" si="6"/>
        <v>IC,,NATSEMI,LM339,DIP14</v>
      </c>
      <c r="C400" s="53" t="s">
        <v>15</v>
      </c>
      <c r="D400" s="53" t="s">
        <v>15</v>
      </c>
      <c r="E400" s="53" t="s">
        <v>428</v>
      </c>
      <c r="F400" s="53" t="s">
        <v>15</v>
      </c>
      <c r="G400" s="53"/>
      <c r="H400" s="53" t="s">
        <v>1374</v>
      </c>
      <c r="I400" s="53" t="s">
        <v>1485</v>
      </c>
      <c r="J400" s="53" t="s">
        <v>428</v>
      </c>
      <c r="K400" s="53" t="s">
        <v>1949</v>
      </c>
      <c r="L400" s="53" t="s">
        <v>15</v>
      </c>
      <c r="M400" s="53" t="s">
        <v>15</v>
      </c>
      <c r="N400" s="53" t="s">
        <v>15</v>
      </c>
      <c r="O400" s="53" t="s">
        <v>15</v>
      </c>
    </row>
    <row r="401" spans="1:15" x14ac:dyDescent="0.25">
      <c r="A401" s="52" t="s">
        <v>4647</v>
      </c>
      <c r="B401" s="54" t="str">
        <f t="shared" si="6"/>
        <v>IC,,MAXIM,DG444,DIP16</v>
      </c>
      <c r="C401" s="53" t="s">
        <v>15</v>
      </c>
      <c r="D401" s="53" t="s">
        <v>15</v>
      </c>
      <c r="E401" s="53" t="s">
        <v>15</v>
      </c>
      <c r="F401" s="53" t="s">
        <v>15</v>
      </c>
      <c r="G401" s="53"/>
      <c r="H401" s="53" t="s">
        <v>1229</v>
      </c>
      <c r="I401" s="53" t="s">
        <v>1950</v>
      </c>
      <c r="J401" s="53" t="s">
        <v>432</v>
      </c>
      <c r="K401" s="53" t="s">
        <v>1951</v>
      </c>
      <c r="L401" s="53" t="s">
        <v>15</v>
      </c>
      <c r="M401" s="53" t="s">
        <v>15</v>
      </c>
      <c r="N401" s="53" t="s">
        <v>15</v>
      </c>
      <c r="O401" s="53" t="s">
        <v>15</v>
      </c>
    </row>
    <row r="402" spans="1:15" x14ac:dyDescent="0.25">
      <c r="A402" s="52" t="s">
        <v>4648</v>
      </c>
      <c r="B402" s="54" t="str">
        <f t="shared" si="6"/>
        <v>IC,,MAXIM,OP27,DIP8</v>
      </c>
      <c r="C402" s="53" t="s">
        <v>15</v>
      </c>
      <c r="D402" s="53" t="s">
        <v>15</v>
      </c>
      <c r="E402" s="53" t="s">
        <v>423</v>
      </c>
      <c r="F402" s="53" t="s">
        <v>15</v>
      </c>
      <c r="G402" s="53"/>
      <c r="H402" s="53" t="s">
        <v>1229</v>
      </c>
      <c r="I402" s="53" t="s">
        <v>1809</v>
      </c>
      <c r="J402" s="53" t="s">
        <v>423</v>
      </c>
      <c r="K402" s="53" t="s">
        <v>1952</v>
      </c>
      <c r="L402" s="53" t="s">
        <v>15</v>
      </c>
      <c r="M402" s="53" t="s">
        <v>15</v>
      </c>
      <c r="N402" s="53" t="s">
        <v>15</v>
      </c>
      <c r="O402" s="53" t="s">
        <v>15</v>
      </c>
    </row>
    <row r="403" spans="1:15" x14ac:dyDescent="0.25">
      <c r="A403" s="52" t="s">
        <v>4649</v>
      </c>
      <c r="B403" s="54" t="str">
        <f t="shared" si="6"/>
        <v>IC,,TI,LM358,DIP8</v>
      </c>
      <c r="C403" s="53" t="s">
        <v>15</v>
      </c>
      <c r="D403" s="53" t="s">
        <v>15</v>
      </c>
      <c r="E403" s="53" t="s">
        <v>423</v>
      </c>
      <c r="F403" s="53" t="s">
        <v>15</v>
      </c>
      <c r="G403" s="53"/>
      <c r="H403" s="53" t="s">
        <v>1145</v>
      </c>
      <c r="I403" s="53" t="s">
        <v>1813</v>
      </c>
      <c r="J403" s="53" t="s">
        <v>423</v>
      </c>
      <c r="K403" s="53" t="s">
        <v>1953</v>
      </c>
      <c r="L403" s="53" t="s">
        <v>15</v>
      </c>
      <c r="M403" s="53" t="s">
        <v>15</v>
      </c>
      <c r="N403" s="53" t="s">
        <v>15</v>
      </c>
      <c r="O403" s="53" t="s">
        <v>15</v>
      </c>
    </row>
    <row r="404" spans="1:15" x14ac:dyDescent="0.25">
      <c r="A404" s="52" t="s">
        <v>4650</v>
      </c>
      <c r="B404" s="54" t="str">
        <f t="shared" si="6"/>
        <v>IC,,TI,74LS245,DIP20</v>
      </c>
      <c r="C404" s="53" t="s">
        <v>15</v>
      </c>
      <c r="D404" s="53" t="s">
        <v>15</v>
      </c>
      <c r="E404" s="53" t="s">
        <v>15</v>
      </c>
      <c r="F404" s="53" t="s">
        <v>15</v>
      </c>
      <c r="G404" s="53"/>
      <c r="H404" s="53" t="s">
        <v>1145</v>
      </c>
      <c r="I404" s="53" t="s">
        <v>1954</v>
      </c>
      <c r="J404" s="53" t="s">
        <v>440</v>
      </c>
      <c r="K404" s="53" t="s">
        <v>1955</v>
      </c>
      <c r="L404" s="53" t="s">
        <v>15</v>
      </c>
      <c r="M404" s="53" t="s">
        <v>15</v>
      </c>
      <c r="N404" s="53" t="s">
        <v>15</v>
      </c>
      <c r="O404" s="53" t="s">
        <v>15</v>
      </c>
    </row>
    <row r="405" spans="1:15" x14ac:dyDescent="0.25">
      <c r="A405" s="52" t="s">
        <v>4651</v>
      </c>
      <c r="B405" s="54" t="str">
        <f t="shared" si="6"/>
        <v>IC,,TI,74LS04,DIP14</v>
      </c>
      <c r="C405" s="53" t="s">
        <v>15</v>
      </c>
      <c r="D405" s="53" t="s">
        <v>15</v>
      </c>
      <c r="E405" s="53" t="s">
        <v>428</v>
      </c>
      <c r="F405" s="53" t="s">
        <v>15</v>
      </c>
      <c r="G405" s="53"/>
      <c r="H405" s="53" t="s">
        <v>1145</v>
      </c>
      <c r="I405" s="53" t="s">
        <v>1956</v>
      </c>
      <c r="J405" s="53" t="s">
        <v>428</v>
      </c>
      <c r="K405" s="53" t="s">
        <v>1957</v>
      </c>
      <c r="L405" s="53" t="s">
        <v>15</v>
      </c>
      <c r="M405" s="53" t="s">
        <v>15</v>
      </c>
      <c r="N405" s="53" t="s">
        <v>15</v>
      </c>
      <c r="O405" s="53" t="s">
        <v>15</v>
      </c>
    </row>
    <row r="406" spans="1:15" x14ac:dyDescent="0.25">
      <c r="A406" s="52" t="s">
        <v>4652</v>
      </c>
      <c r="B406" s="54" t="str">
        <f t="shared" si="6"/>
        <v>IC,,MAXIM,DG528,DIP18</v>
      </c>
      <c r="C406" s="53" t="s">
        <v>15</v>
      </c>
      <c r="D406" s="53" t="s">
        <v>15</v>
      </c>
      <c r="E406" s="53" t="s">
        <v>436</v>
      </c>
      <c r="F406" s="53" t="s">
        <v>15</v>
      </c>
      <c r="G406" s="53"/>
      <c r="H406" s="53" t="s">
        <v>1229</v>
      </c>
      <c r="I406" s="53" t="s">
        <v>1958</v>
      </c>
      <c r="J406" s="53" t="s">
        <v>436</v>
      </c>
      <c r="K406" s="53" t="s">
        <v>1959</v>
      </c>
      <c r="L406" s="53" t="s">
        <v>15</v>
      </c>
      <c r="M406" s="53" t="s">
        <v>15</v>
      </c>
      <c r="N406" s="53" t="s">
        <v>15</v>
      </c>
      <c r="O406" s="53" t="s">
        <v>15</v>
      </c>
    </row>
    <row r="407" spans="1:15" x14ac:dyDescent="0.25">
      <c r="A407" s="52" t="s">
        <v>4653</v>
      </c>
      <c r="B407" s="54" t="str">
        <f t="shared" si="6"/>
        <v>IC,,LINEAR TECHNOLOGIES,LT1083C,TO237</v>
      </c>
      <c r="C407" s="53" t="s">
        <v>15</v>
      </c>
      <c r="D407" s="53" t="s">
        <v>15</v>
      </c>
      <c r="E407" s="53" t="s">
        <v>15</v>
      </c>
      <c r="F407" s="53" t="s">
        <v>15</v>
      </c>
      <c r="G407" s="53"/>
      <c r="H407" s="53" t="s">
        <v>1247</v>
      </c>
      <c r="I407" s="53" t="s">
        <v>1960</v>
      </c>
      <c r="J407" s="53" t="s">
        <v>1596</v>
      </c>
      <c r="K407" s="53" t="s">
        <v>1961</v>
      </c>
      <c r="L407" s="53" t="s">
        <v>15</v>
      </c>
      <c r="M407" s="53" t="s">
        <v>15</v>
      </c>
      <c r="N407" s="53" t="s">
        <v>15</v>
      </c>
      <c r="O407" s="53" t="s">
        <v>15</v>
      </c>
    </row>
    <row r="408" spans="1:15" ht="30" x14ac:dyDescent="0.25">
      <c r="A408" s="52" t="s">
        <v>4654</v>
      </c>
      <c r="B408" s="54" t="str">
        <f t="shared" si="6"/>
        <v>IC,,MOTOROLA,MC7812,TO220</v>
      </c>
      <c r="C408" s="53" t="s">
        <v>15</v>
      </c>
      <c r="D408" s="53" t="s">
        <v>15</v>
      </c>
      <c r="E408" s="53" t="s">
        <v>15</v>
      </c>
      <c r="F408" s="53" t="s">
        <v>15</v>
      </c>
      <c r="G408" s="53"/>
      <c r="H408" s="53" t="s">
        <v>1086</v>
      </c>
      <c r="I408" s="53" t="s">
        <v>1962</v>
      </c>
      <c r="J408" s="53" t="s">
        <v>780</v>
      </c>
      <c r="K408" s="53" t="s">
        <v>1963</v>
      </c>
      <c r="L408" s="53" t="s">
        <v>15</v>
      </c>
      <c r="M408" s="53" t="s">
        <v>15</v>
      </c>
      <c r="N408" s="53" t="s">
        <v>15</v>
      </c>
      <c r="O408" s="53" t="s">
        <v>15</v>
      </c>
    </row>
    <row r="409" spans="1:15" x14ac:dyDescent="0.25">
      <c r="A409" s="52" t="s">
        <v>4655</v>
      </c>
      <c r="B409" s="54" t="str">
        <f t="shared" si="6"/>
        <v>IC,,LINEAR TECHNOLOGIES,LT1584-3.3,TO220</v>
      </c>
      <c r="C409" s="53" t="s">
        <v>15</v>
      </c>
      <c r="D409" s="53" t="s">
        <v>15</v>
      </c>
      <c r="E409" s="53" t="s">
        <v>15</v>
      </c>
      <c r="F409" s="53" t="s">
        <v>15</v>
      </c>
      <c r="G409" s="53"/>
      <c r="H409" s="53" t="s">
        <v>1247</v>
      </c>
      <c r="I409" s="53" t="s">
        <v>1964</v>
      </c>
      <c r="J409" s="53" t="s">
        <v>780</v>
      </c>
      <c r="K409" s="53" t="s">
        <v>1965</v>
      </c>
      <c r="L409" s="53" t="s">
        <v>15</v>
      </c>
      <c r="M409" s="53" t="s">
        <v>15</v>
      </c>
      <c r="N409" s="53" t="s">
        <v>15</v>
      </c>
      <c r="O409" s="53" t="s">
        <v>15</v>
      </c>
    </row>
    <row r="410" spans="1:15" x14ac:dyDescent="0.25">
      <c r="A410" s="52" t="s">
        <v>4656</v>
      </c>
      <c r="B410" s="54" t="str">
        <f t="shared" si="6"/>
        <v>IC,,ONSEMI,MC7808,TO220</v>
      </c>
      <c r="C410" s="53" t="s">
        <v>15</v>
      </c>
      <c r="D410" s="53" t="s">
        <v>15</v>
      </c>
      <c r="E410" s="53" t="s">
        <v>15</v>
      </c>
      <c r="F410" s="53" t="s">
        <v>15</v>
      </c>
      <c r="G410" s="53"/>
      <c r="H410" s="53" t="s">
        <v>685</v>
      </c>
      <c r="I410" s="53" t="s">
        <v>1966</v>
      </c>
      <c r="J410" s="53" t="s">
        <v>780</v>
      </c>
      <c r="K410" s="53" t="s">
        <v>1967</v>
      </c>
      <c r="L410" s="53" t="s">
        <v>15</v>
      </c>
      <c r="M410" s="53" t="s">
        <v>15</v>
      </c>
      <c r="N410" s="53" t="s">
        <v>15</v>
      </c>
      <c r="O410" s="53" t="s">
        <v>15</v>
      </c>
    </row>
    <row r="411" spans="1:15" x14ac:dyDescent="0.25">
      <c r="A411" s="52" t="s">
        <v>4657</v>
      </c>
      <c r="B411" s="54" t="str">
        <f t="shared" si="6"/>
        <v>IC,,SHARP,IS474,</v>
      </c>
      <c r="C411" s="53" t="s">
        <v>15</v>
      </c>
      <c r="D411" s="53" t="s">
        <v>15</v>
      </c>
      <c r="E411" s="53" t="s">
        <v>15</v>
      </c>
      <c r="F411" s="53" t="s">
        <v>15</v>
      </c>
      <c r="G411" s="53"/>
      <c r="H411" s="53" t="s">
        <v>1968</v>
      </c>
      <c r="I411" s="53" t="s">
        <v>1969</v>
      </c>
      <c r="J411" s="53" t="s">
        <v>15</v>
      </c>
      <c r="K411" s="53" t="s">
        <v>1970</v>
      </c>
      <c r="L411" s="53" t="s">
        <v>1971</v>
      </c>
      <c r="M411" s="53" t="s">
        <v>1972</v>
      </c>
      <c r="N411" s="53" t="s">
        <v>15</v>
      </c>
      <c r="O411" s="53" t="s">
        <v>15</v>
      </c>
    </row>
    <row r="412" spans="1:15" x14ac:dyDescent="0.25">
      <c r="A412" s="52" t="s">
        <v>4658</v>
      </c>
      <c r="B412" s="54" t="str">
        <f t="shared" si="6"/>
        <v>IC,,LINEAR TECHNOLOGIES,LT1084,TO247</v>
      </c>
      <c r="C412" s="53" t="s">
        <v>15</v>
      </c>
      <c r="D412" s="53" t="s">
        <v>15</v>
      </c>
      <c r="E412" s="53" t="s">
        <v>15</v>
      </c>
      <c r="F412" s="53" t="s">
        <v>15</v>
      </c>
      <c r="G412" s="53"/>
      <c r="H412" s="53" t="s">
        <v>1247</v>
      </c>
      <c r="I412" s="53" t="s">
        <v>1973</v>
      </c>
      <c r="J412" s="53" t="s">
        <v>1082</v>
      </c>
      <c r="K412" s="53" t="s">
        <v>1974</v>
      </c>
      <c r="L412" s="53" t="s">
        <v>15</v>
      </c>
      <c r="M412" s="53" t="s">
        <v>15</v>
      </c>
      <c r="N412" s="53" t="s">
        <v>15</v>
      </c>
      <c r="O412" s="53" t="s">
        <v>15</v>
      </c>
    </row>
    <row r="413" spans="1:15" x14ac:dyDescent="0.25">
      <c r="A413" s="52" t="s">
        <v>4659</v>
      </c>
      <c r="B413" s="54" t="str">
        <f t="shared" si="6"/>
        <v>IC,,LINEAR TECHNOLOGIES,LT1085,TO220</v>
      </c>
      <c r="C413" s="53" t="s">
        <v>15</v>
      </c>
      <c r="D413" s="53" t="s">
        <v>15</v>
      </c>
      <c r="E413" s="53" t="s">
        <v>15</v>
      </c>
      <c r="F413" s="53" t="s">
        <v>15</v>
      </c>
      <c r="G413" s="53"/>
      <c r="H413" s="53" t="s">
        <v>1247</v>
      </c>
      <c r="I413" s="53" t="s">
        <v>1816</v>
      </c>
      <c r="J413" s="53" t="s">
        <v>780</v>
      </c>
      <c r="K413" s="53" t="s">
        <v>1975</v>
      </c>
      <c r="L413" s="53" t="s">
        <v>15</v>
      </c>
      <c r="M413" s="53" t="s">
        <v>15</v>
      </c>
      <c r="N413" s="53" t="s">
        <v>15</v>
      </c>
      <c r="O413" s="53" t="s">
        <v>15</v>
      </c>
    </row>
    <row r="414" spans="1:15" x14ac:dyDescent="0.25">
      <c r="A414" s="52" t="s">
        <v>4660</v>
      </c>
      <c r="B414" s="54" t="str">
        <f t="shared" si="6"/>
        <v>IC,,SGS,LM741,TO99</v>
      </c>
      <c r="C414" s="53" t="s">
        <v>15</v>
      </c>
      <c r="D414" s="53" t="s">
        <v>15</v>
      </c>
      <c r="E414" s="53" t="s">
        <v>15</v>
      </c>
      <c r="F414" s="53" t="s">
        <v>15</v>
      </c>
      <c r="G414" s="53"/>
      <c r="H414" s="53" t="s">
        <v>1482</v>
      </c>
      <c r="I414" s="53" t="s">
        <v>1814</v>
      </c>
      <c r="J414" s="53" t="s">
        <v>1976</v>
      </c>
      <c r="K414" s="53" t="s">
        <v>1977</v>
      </c>
      <c r="L414" s="53" t="s">
        <v>15</v>
      </c>
      <c r="M414" s="53" t="s">
        <v>15</v>
      </c>
      <c r="N414" s="53" t="s">
        <v>15</v>
      </c>
      <c r="O414" s="53" t="s">
        <v>15</v>
      </c>
    </row>
    <row r="415" spans="1:15" x14ac:dyDescent="0.25">
      <c r="A415" s="52" t="s">
        <v>4661</v>
      </c>
      <c r="B415" s="54" t="str">
        <f t="shared" si="6"/>
        <v>IC,,ONSEMI,MC7908,TO220</v>
      </c>
      <c r="C415" s="53" t="s">
        <v>15</v>
      </c>
      <c r="D415" s="53" t="s">
        <v>15</v>
      </c>
      <c r="E415" s="53" t="s">
        <v>15</v>
      </c>
      <c r="F415" s="53" t="s">
        <v>15</v>
      </c>
      <c r="G415" s="53"/>
      <c r="H415" s="53" t="s">
        <v>685</v>
      </c>
      <c r="I415" s="53" t="s">
        <v>1978</v>
      </c>
      <c r="J415" s="53" t="s">
        <v>780</v>
      </c>
      <c r="K415" s="53" t="s">
        <v>1979</v>
      </c>
      <c r="L415" s="53" t="s">
        <v>15</v>
      </c>
      <c r="M415" s="53" t="s">
        <v>15</v>
      </c>
      <c r="N415" s="53" t="s">
        <v>15</v>
      </c>
      <c r="O415" s="53" t="s">
        <v>15</v>
      </c>
    </row>
    <row r="416" spans="1:15" x14ac:dyDescent="0.25">
      <c r="A416" s="52" t="s">
        <v>4662</v>
      </c>
      <c r="B416" s="54" t="str">
        <f t="shared" si="6"/>
        <v>IC,,ATMEL,AT25256,SO8</v>
      </c>
      <c r="C416" s="53" t="s">
        <v>15</v>
      </c>
      <c r="D416" s="53" t="s">
        <v>15</v>
      </c>
      <c r="E416" s="53" t="s">
        <v>1980</v>
      </c>
      <c r="F416" s="53" t="s">
        <v>15</v>
      </c>
      <c r="G416" s="53"/>
      <c r="H416" s="53" t="s">
        <v>1236</v>
      </c>
      <c r="I416" s="53" t="s">
        <v>1981</v>
      </c>
      <c r="J416" s="53" t="s">
        <v>1147</v>
      </c>
      <c r="K416" s="53" t="s">
        <v>1982</v>
      </c>
      <c r="L416" s="53" t="s">
        <v>15</v>
      </c>
      <c r="M416" s="53" t="s">
        <v>15</v>
      </c>
      <c r="N416" s="53" t="s">
        <v>15</v>
      </c>
      <c r="O416" s="53" t="s">
        <v>15</v>
      </c>
    </row>
    <row r="417" spans="1:15" x14ac:dyDescent="0.25">
      <c r="A417" s="52" t="s">
        <v>4663</v>
      </c>
      <c r="B417" s="54" t="str">
        <f t="shared" si="6"/>
        <v>IC,,TI,TL7700,TSSOP8</v>
      </c>
      <c r="C417" s="53" t="s">
        <v>15</v>
      </c>
      <c r="D417" s="53" t="s">
        <v>15</v>
      </c>
      <c r="E417" s="53" t="s">
        <v>1983</v>
      </c>
      <c r="F417" s="53" t="s">
        <v>15</v>
      </c>
      <c r="G417" s="53"/>
      <c r="H417" s="53" t="s">
        <v>1145</v>
      </c>
      <c r="I417" s="53" t="s">
        <v>1984</v>
      </c>
      <c r="J417" s="53" t="s">
        <v>1835</v>
      </c>
      <c r="K417" s="53" t="s">
        <v>1985</v>
      </c>
      <c r="L417" s="53" t="s">
        <v>15</v>
      </c>
      <c r="M417" s="53" t="s">
        <v>15</v>
      </c>
      <c r="N417" s="53" t="s">
        <v>15</v>
      </c>
      <c r="O417" s="53" t="s">
        <v>15</v>
      </c>
    </row>
    <row r="418" spans="1:15" x14ac:dyDescent="0.25">
      <c r="A418" s="52" t="s">
        <v>4664</v>
      </c>
      <c r="B418" s="54" t="str">
        <f t="shared" si="6"/>
        <v>IC,,INTERSIL,ICL7660,DIP8</v>
      </c>
      <c r="C418" s="53" t="s">
        <v>15</v>
      </c>
      <c r="D418" s="53" t="s">
        <v>15</v>
      </c>
      <c r="E418" s="53" t="s">
        <v>15</v>
      </c>
      <c r="F418" s="53" t="s">
        <v>15</v>
      </c>
      <c r="G418" s="53"/>
      <c r="H418" s="53" t="s">
        <v>1819</v>
      </c>
      <c r="I418" s="53" t="s">
        <v>1986</v>
      </c>
      <c r="J418" s="53" t="s">
        <v>423</v>
      </c>
      <c r="K418" s="53" t="s">
        <v>1987</v>
      </c>
      <c r="L418" s="53" t="s">
        <v>15</v>
      </c>
      <c r="M418" s="53" t="s">
        <v>15</v>
      </c>
      <c r="N418" s="53" t="s">
        <v>15</v>
      </c>
      <c r="O418" s="53" t="s">
        <v>15</v>
      </c>
    </row>
    <row r="419" spans="1:15" x14ac:dyDescent="0.25">
      <c r="A419" s="52" t="s">
        <v>4665</v>
      </c>
      <c r="B419" s="54" t="str">
        <f t="shared" si="6"/>
        <v>IC,,HARRIS,74HC10,DIP14</v>
      </c>
      <c r="C419" s="53" t="s">
        <v>15</v>
      </c>
      <c r="D419" s="53" t="s">
        <v>15</v>
      </c>
      <c r="E419" s="53" t="s">
        <v>15</v>
      </c>
      <c r="F419" s="53" t="s">
        <v>15</v>
      </c>
      <c r="G419" s="53"/>
      <c r="H419" s="53" t="s">
        <v>1988</v>
      </c>
      <c r="I419" s="53" t="s">
        <v>1715</v>
      </c>
      <c r="J419" s="53" t="s">
        <v>428</v>
      </c>
      <c r="K419" s="53" t="s">
        <v>1989</v>
      </c>
      <c r="L419" s="53" t="s">
        <v>15</v>
      </c>
      <c r="M419" s="53" t="s">
        <v>15</v>
      </c>
      <c r="N419" s="53" t="s">
        <v>15</v>
      </c>
      <c r="O419" s="53" t="s">
        <v>15</v>
      </c>
    </row>
    <row r="420" spans="1:15" x14ac:dyDescent="0.25">
      <c r="A420" s="52" t="s">
        <v>4666</v>
      </c>
      <c r="B420" s="54" t="str">
        <f t="shared" si="6"/>
        <v>IC,,ST,LM339,DIP14</v>
      </c>
      <c r="C420" s="53" t="s">
        <v>15</v>
      </c>
      <c r="D420" s="53" t="s">
        <v>15</v>
      </c>
      <c r="E420" s="53" t="s">
        <v>15</v>
      </c>
      <c r="F420" s="53" t="s">
        <v>15</v>
      </c>
      <c r="G420" s="53"/>
      <c r="H420" s="53" t="s">
        <v>807</v>
      </c>
      <c r="I420" s="53" t="s">
        <v>1485</v>
      </c>
      <c r="J420" s="53" t="s">
        <v>428</v>
      </c>
      <c r="K420" s="53" t="s">
        <v>1990</v>
      </c>
      <c r="L420" s="53" t="s">
        <v>15</v>
      </c>
      <c r="M420" s="53" t="s">
        <v>15</v>
      </c>
      <c r="N420" s="53" t="s">
        <v>15</v>
      </c>
      <c r="O420" s="53" t="s">
        <v>15</v>
      </c>
    </row>
    <row r="421" spans="1:15" x14ac:dyDescent="0.25">
      <c r="A421" s="52" t="s">
        <v>4667</v>
      </c>
      <c r="B421" s="54" t="str">
        <f t="shared" si="6"/>
        <v>IC,,SAMSUNG,78L05,TO92</v>
      </c>
      <c r="C421" s="53" t="s">
        <v>15</v>
      </c>
      <c r="D421" s="53" t="s">
        <v>15</v>
      </c>
      <c r="E421" s="53" t="s">
        <v>15</v>
      </c>
      <c r="F421" s="53" t="s">
        <v>15</v>
      </c>
      <c r="G421" s="53"/>
      <c r="H421" s="53" t="s">
        <v>1515</v>
      </c>
      <c r="I421" s="53" t="s">
        <v>1991</v>
      </c>
      <c r="J421" s="53" t="s">
        <v>1540</v>
      </c>
      <c r="K421" s="53" t="s">
        <v>1992</v>
      </c>
      <c r="L421" s="53" t="s">
        <v>15</v>
      </c>
      <c r="M421" s="53" t="s">
        <v>15</v>
      </c>
      <c r="N421" s="53" t="s">
        <v>15</v>
      </c>
      <c r="O421" s="53" t="s">
        <v>15</v>
      </c>
    </row>
    <row r="422" spans="1:15" x14ac:dyDescent="0.25">
      <c r="A422" s="52" t="s">
        <v>4668</v>
      </c>
      <c r="B422" s="54" t="str">
        <f t="shared" si="6"/>
        <v>IC,,ST,74LVX14MTR,SO14</v>
      </c>
      <c r="C422" s="53" t="s">
        <v>15</v>
      </c>
      <c r="D422" s="53" t="s">
        <v>15</v>
      </c>
      <c r="E422" s="53" t="s">
        <v>15</v>
      </c>
      <c r="F422" s="53" t="s">
        <v>15</v>
      </c>
      <c r="G422" s="53"/>
      <c r="H422" s="53" t="s">
        <v>807</v>
      </c>
      <c r="I422" s="53" t="s">
        <v>1993</v>
      </c>
      <c r="J422" s="53" t="s">
        <v>1194</v>
      </c>
      <c r="K422" s="53" t="s">
        <v>1994</v>
      </c>
      <c r="L422" s="53" t="s">
        <v>15</v>
      </c>
      <c r="M422" s="53" t="s">
        <v>15</v>
      </c>
      <c r="N422" s="53" t="s">
        <v>15</v>
      </c>
      <c r="O422" s="53" t="s">
        <v>15</v>
      </c>
    </row>
    <row r="423" spans="1:15" x14ac:dyDescent="0.25">
      <c r="A423" s="52" t="s">
        <v>4669</v>
      </c>
      <c r="B423" s="54" t="str">
        <f t="shared" si="6"/>
        <v>IC,,NATIONAL SEMI,DAC0808,DIP16</v>
      </c>
      <c r="C423" s="53" t="s">
        <v>15</v>
      </c>
      <c r="D423" s="53" t="s">
        <v>15</v>
      </c>
      <c r="E423" s="53" t="s">
        <v>15</v>
      </c>
      <c r="F423" s="53" t="s">
        <v>15</v>
      </c>
      <c r="G423" s="53"/>
      <c r="H423" s="53" t="s">
        <v>1995</v>
      </c>
      <c r="I423" s="53" t="s">
        <v>1996</v>
      </c>
      <c r="J423" s="53" t="s">
        <v>432</v>
      </c>
      <c r="K423" s="53" t="s">
        <v>1997</v>
      </c>
      <c r="L423" s="53" t="s">
        <v>15</v>
      </c>
      <c r="M423" s="53" t="s">
        <v>15</v>
      </c>
      <c r="N423" s="53" t="s">
        <v>15</v>
      </c>
      <c r="O423" s="53" t="s">
        <v>15</v>
      </c>
    </row>
    <row r="424" spans="1:15" x14ac:dyDescent="0.25">
      <c r="A424" s="52" t="s">
        <v>4670</v>
      </c>
      <c r="B424" s="54" t="str">
        <f t="shared" si="6"/>
        <v>IC,,RCA,CD4029,DIP16</v>
      </c>
      <c r="C424" s="53" t="s">
        <v>15</v>
      </c>
      <c r="D424" s="53" t="s">
        <v>15</v>
      </c>
      <c r="E424" s="53" t="s">
        <v>15</v>
      </c>
      <c r="F424" s="53" t="s">
        <v>15</v>
      </c>
      <c r="G424" s="53"/>
      <c r="H424" s="53" t="s">
        <v>1944</v>
      </c>
      <c r="I424" s="53" t="s">
        <v>1998</v>
      </c>
      <c r="J424" s="53" t="s">
        <v>432</v>
      </c>
      <c r="K424" s="53" t="s">
        <v>1999</v>
      </c>
      <c r="L424" s="53" t="s">
        <v>15</v>
      </c>
      <c r="M424" s="53" t="s">
        <v>15</v>
      </c>
      <c r="N424" s="53" t="s">
        <v>15</v>
      </c>
      <c r="O424" s="53" t="s">
        <v>15</v>
      </c>
    </row>
    <row r="425" spans="1:15" x14ac:dyDescent="0.25">
      <c r="A425" s="52" t="s">
        <v>4671</v>
      </c>
      <c r="B425" s="54" t="str">
        <f t="shared" si="6"/>
        <v>IC,,TI,CD4028,DIP16</v>
      </c>
      <c r="C425" s="53" t="s">
        <v>15</v>
      </c>
      <c r="D425" s="53" t="s">
        <v>15</v>
      </c>
      <c r="E425" s="53" t="s">
        <v>15</v>
      </c>
      <c r="F425" s="53" t="s">
        <v>15</v>
      </c>
      <c r="G425" s="53"/>
      <c r="H425" s="53" t="s">
        <v>1145</v>
      </c>
      <c r="I425" s="53" t="s">
        <v>2000</v>
      </c>
      <c r="J425" s="53" t="s">
        <v>432</v>
      </c>
      <c r="K425" s="53" t="s">
        <v>2001</v>
      </c>
      <c r="L425" s="53" t="s">
        <v>15</v>
      </c>
      <c r="M425" s="53" t="s">
        <v>15</v>
      </c>
      <c r="N425" s="53" t="s">
        <v>15</v>
      </c>
      <c r="O425" s="53" t="s">
        <v>15</v>
      </c>
    </row>
    <row r="426" spans="1:15" x14ac:dyDescent="0.25">
      <c r="A426" s="52" t="s">
        <v>4672</v>
      </c>
      <c r="B426" s="54" t="str">
        <f t="shared" si="6"/>
        <v>IC,,TI,74LS247,DIP16</v>
      </c>
      <c r="C426" s="53" t="s">
        <v>15</v>
      </c>
      <c r="D426" s="53" t="s">
        <v>15</v>
      </c>
      <c r="E426" s="53" t="s">
        <v>15</v>
      </c>
      <c r="F426" s="53" t="s">
        <v>15</v>
      </c>
      <c r="G426" s="53"/>
      <c r="H426" s="53" t="s">
        <v>1145</v>
      </c>
      <c r="I426" s="53" t="s">
        <v>2002</v>
      </c>
      <c r="J426" s="53" t="s">
        <v>432</v>
      </c>
      <c r="K426" s="53" t="s">
        <v>2003</v>
      </c>
      <c r="L426" s="53" t="s">
        <v>15</v>
      </c>
      <c r="M426" s="53" t="s">
        <v>15</v>
      </c>
      <c r="N426" s="53" t="s">
        <v>15</v>
      </c>
      <c r="O426" s="53" t="s">
        <v>15</v>
      </c>
    </row>
    <row r="427" spans="1:15" x14ac:dyDescent="0.25">
      <c r="A427" s="52" t="s">
        <v>4673</v>
      </c>
      <c r="B427" s="54" t="str">
        <f t="shared" si="6"/>
        <v>IC,,TI,LF412CP,DIP8</v>
      </c>
      <c r="C427" s="53" t="s">
        <v>15</v>
      </c>
      <c r="D427" s="53" t="s">
        <v>15</v>
      </c>
      <c r="E427" s="53" t="s">
        <v>15</v>
      </c>
      <c r="F427" s="53" t="s">
        <v>15</v>
      </c>
      <c r="G427" s="53"/>
      <c r="H427" s="53" t="s">
        <v>1145</v>
      </c>
      <c r="I427" s="53" t="s">
        <v>2004</v>
      </c>
      <c r="J427" s="53" t="s">
        <v>423</v>
      </c>
      <c r="K427" s="53" t="s">
        <v>2005</v>
      </c>
      <c r="L427" s="53" t="s">
        <v>15</v>
      </c>
      <c r="M427" s="53" t="s">
        <v>15</v>
      </c>
      <c r="N427" s="53" t="s">
        <v>15</v>
      </c>
      <c r="O427" s="53" t="s">
        <v>15</v>
      </c>
    </row>
    <row r="428" spans="1:15" x14ac:dyDescent="0.25">
      <c r="A428" s="52" t="s">
        <v>4674</v>
      </c>
      <c r="B428" s="54" t="str">
        <f t="shared" si="6"/>
        <v>IC,,XICOR,X28C256,DIP28</v>
      </c>
      <c r="C428" s="53" t="s">
        <v>15</v>
      </c>
      <c r="D428" s="53" t="s">
        <v>15</v>
      </c>
      <c r="E428" s="53" t="s">
        <v>15</v>
      </c>
      <c r="F428" s="53" t="s">
        <v>15</v>
      </c>
      <c r="G428" s="53"/>
      <c r="H428" s="53" t="s">
        <v>1574</v>
      </c>
      <c r="I428" s="53" t="s">
        <v>2006</v>
      </c>
      <c r="J428" s="53" t="s">
        <v>1803</v>
      </c>
      <c r="K428" s="53" t="s">
        <v>2007</v>
      </c>
      <c r="L428" s="53" t="s">
        <v>15</v>
      </c>
      <c r="M428" s="53" t="s">
        <v>15</v>
      </c>
      <c r="N428" s="53" t="s">
        <v>15</v>
      </c>
      <c r="O428" s="53" t="s">
        <v>15</v>
      </c>
    </row>
    <row r="429" spans="1:15" x14ac:dyDescent="0.25">
      <c r="A429" s="52" t="s">
        <v>4675</v>
      </c>
      <c r="B429" s="54" t="str">
        <f t="shared" si="6"/>
        <v>IC,,TI,CD4543,DIP16</v>
      </c>
      <c r="C429" s="53" t="s">
        <v>15</v>
      </c>
      <c r="D429" s="53" t="s">
        <v>15</v>
      </c>
      <c r="E429" s="53" t="s">
        <v>15</v>
      </c>
      <c r="F429" s="53" t="s">
        <v>15</v>
      </c>
      <c r="G429" s="53"/>
      <c r="H429" s="53" t="s">
        <v>1145</v>
      </c>
      <c r="I429" s="53" t="s">
        <v>2008</v>
      </c>
      <c r="J429" s="53" t="s">
        <v>432</v>
      </c>
      <c r="K429" s="53" t="s">
        <v>2009</v>
      </c>
      <c r="L429" s="53" t="s">
        <v>15</v>
      </c>
      <c r="M429" s="53" t="s">
        <v>15</v>
      </c>
      <c r="N429" s="53" t="s">
        <v>15</v>
      </c>
      <c r="O429" s="53" t="s">
        <v>15</v>
      </c>
    </row>
    <row r="430" spans="1:15" x14ac:dyDescent="0.25">
      <c r="A430" s="52" t="s">
        <v>4676</v>
      </c>
      <c r="B430" s="54" t="str">
        <f t="shared" si="6"/>
        <v>IC,,INTERSIL,ICL7660,DIP8</v>
      </c>
      <c r="C430" s="53" t="s">
        <v>15</v>
      </c>
      <c r="D430" s="53" t="s">
        <v>15</v>
      </c>
      <c r="E430" s="53" t="s">
        <v>15</v>
      </c>
      <c r="F430" s="53" t="s">
        <v>15</v>
      </c>
      <c r="G430" s="53"/>
      <c r="H430" s="53" t="s">
        <v>1819</v>
      </c>
      <c r="I430" s="53" t="s">
        <v>1986</v>
      </c>
      <c r="J430" s="53" t="s">
        <v>423</v>
      </c>
      <c r="K430" s="53" t="s">
        <v>2010</v>
      </c>
      <c r="L430" s="53" t="s">
        <v>15</v>
      </c>
      <c r="M430" s="53" t="s">
        <v>15</v>
      </c>
      <c r="N430" s="53" t="s">
        <v>15</v>
      </c>
      <c r="O430" s="53" t="s">
        <v>15</v>
      </c>
    </row>
    <row r="431" spans="1:15" x14ac:dyDescent="0.25">
      <c r="A431" s="52" t="s">
        <v>4677</v>
      </c>
      <c r="B431" s="54" t="str">
        <f t="shared" si="6"/>
        <v>IC,,TI,SN74LS247N,DIP16</v>
      </c>
      <c r="C431" s="53" t="s">
        <v>15</v>
      </c>
      <c r="D431" s="53" t="s">
        <v>15</v>
      </c>
      <c r="E431" s="53" t="s">
        <v>15</v>
      </c>
      <c r="F431" s="53" t="s">
        <v>15</v>
      </c>
      <c r="G431" s="53"/>
      <c r="H431" s="53" t="s">
        <v>1145</v>
      </c>
      <c r="I431" s="53" t="s">
        <v>2011</v>
      </c>
      <c r="J431" s="53" t="s">
        <v>432</v>
      </c>
      <c r="K431" s="53" t="s">
        <v>2012</v>
      </c>
      <c r="L431" s="53" t="s">
        <v>15</v>
      </c>
      <c r="M431" s="53" t="s">
        <v>15</v>
      </c>
      <c r="N431" s="53" t="s">
        <v>15</v>
      </c>
      <c r="O431" s="53" t="s">
        <v>15</v>
      </c>
    </row>
    <row r="432" spans="1:15" x14ac:dyDescent="0.25">
      <c r="A432" s="52" t="s">
        <v>4678</v>
      </c>
      <c r="B432" s="54" t="str">
        <f t="shared" si="6"/>
        <v>IC,,TI,CD4017,DIP16</v>
      </c>
      <c r="C432" s="53" t="s">
        <v>15</v>
      </c>
      <c r="D432" s="53" t="s">
        <v>15</v>
      </c>
      <c r="E432" s="53" t="s">
        <v>15</v>
      </c>
      <c r="F432" s="53" t="s">
        <v>15</v>
      </c>
      <c r="G432" s="53"/>
      <c r="H432" s="53" t="s">
        <v>1145</v>
      </c>
      <c r="I432" s="53" t="s">
        <v>2013</v>
      </c>
      <c r="J432" s="53" t="s">
        <v>432</v>
      </c>
      <c r="K432" s="53" t="s">
        <v>2014</v>
      </c>
      <c r="L432" s="53" t="s">
        <v>15</v>
      </c>
      <c r="M432" s="53" t="s">
        <v>15</v>
      </c>
      <c r="N432" s="53" t="s">
        <v>15</v>
      </c>
      <c r="O432" s="53" t="s">
        <v>15</v>
      </c>
    </row>
    <row r="433" spans="1:15" x14ac:dyDescent="0.25">
      <c r="A433" s="52" t="s">
        <v>4679</v>
      </c>
      <c r="B433" s="54" t="str">
        <f t="shared" si="6"/>
        <v>IC,,RCA,CD4067,DIP24</v>
      </c>
      <c r="C433" s="53" t="s">
        <v>15</v>
      </c>
      <c r="D433" s="53" t="s">
        <v>15</v>
      </c>
      <c r="E433" s="53" t="s">
        <v>15</v>
      </c>
      <c r="F433" s="53" t="s">
        <v>15</v>
      </c>
      <c r="G433" s="53"/>
      <c r="H433" s="53" t="s">
        <v>1944</v>
      </c>
      <c r="I433" s="53" t="s">
        <v>2015</v>
      </c>
      <c r="J433" s="53" t="s">
        <v>2016</v>
      </c>
      <c r="K433" s="53" t="s">
        <v>2017</v>
      </c>
      <c r="L433" s="53" t="s">
        <v>15</v>
      </c>
      <c r="M433" s="53" t="s">
        <v>15</v>
      </c>
      <c r="N433" s="53" t="s">
        <v>15</v>
      </c>
      <c r="O433" s="53" t="s">
        <v>15</v>
      </c>
    </row>
    <row r="434" spans="1:15" x14ac:dyDescent="0.25">
      <c r="A434" s="52" t="s">
        <v>4680</v>
      </c>
      <c r="B434" s="54" t="str">
        <f t="shared" si="6"/>
        <v>IC,,NATIONAL,LM385-1.2,TO92</v>
      </c>
      <c r="C434" s="53" t="s">
        <v>15</v>
      </c>
      <c r="D434" s="53" t="s">
        <v>15</v>
      </c>
      <c r="E434" s="53" t="s">
        <v>15</v>
      </c>
      <c r="F434" s="53" t="s">
        <v>15</v>
      </c>
      <c r="G434" s="53"/>
      <c r="H434" s="53" t="s">
        <v>1556</v>
      </c>
      <c r="I434" s="53" t="s">
        <v>2018</v>
      </c>
      <c r="J434" s="53" t="s">
        <v>1540</v>
      </c>
      <c r="K434" s="53" t="s">
        <v>2019</v>
      </c>
      <c r="L434" s="53" t="s">
        <v>1120</v>
      </c>
      <c r="M434" s="53" t="s">
        <v>1544</v>
      </c>
      <c r="N434" s="53" t="s">
        <v>15</v>
      </c>
      <c r="O434" s="53" t="s">
        <v>15</v>
      </c>
    </row>
    <row r="435" spans="1:15" x14ac:dyDescent="0.25">
      <c r="A435" s="52" t="s">
        <v>4681</v>
      </c>
      <c r="B435" s="54" t="str">
        <f t="shared" si="6"/>
        <v>IC,,ST,M24C32,SO8</v>
      </c>
      <c r="C435" s="53" t="s">
        <v>15</v>
      </c>
      <c r="D435" s="53" t="s">
        <v>15</v>
      </c>
      <c r="E435" s="53" t="s">
        <v>15</v>
      </c>
      <c r="F435" s="53" t="s">
        <v>15</v>
      </c>
      <c r="G435" s="53"/>
      <c r="H435" s="53" t="s">
        <v>807</v>
      </c>
      <c r="I435" s="53" t="s">
        <v>2020</v>
      </c>
      <c r="J435" s="53" t="s">
        <v>1147</v>
      </c>
      <c r="K435" s="53" t="s">
        <v>2021</v>
      </c>
      <c r="L435" s="53" t="s">
        <v>15</v>
      </c>
      <c r="M435" s="53" t="s">
        <v>15</v>
      </c>
      <c r="N435" s="53" t="s">
        <v>15</v>
      </c>
      <c r="O435" s="53" t="s">
        <v>15</v>
      </c>
    </row>
    <row r="436" spans="1:15" x14ac:dyDescent="0.25">
      <c r="A436" s="52" t="s">
        <v>4682</v>
      </c>
      <c r="B436" s="54" t="str">
        <f t="shared" si="6"/>
        <v>IC,,ST,M24C02,SO8</v>
      </c>
      <c r="C436" s="53" t="s">
        <v>15</v>
      </c>
      <c r="D436" s="53" t="s">
        <v>15</v>
      </c>
      <c r="E436" s="53" t="s">
        <v>15</v>
      </c>
      <c r="F436" s="53" t="s">
        <v>15</v>
      </c>
      <c r="G436" s="53"/>
      <c r="H436" s="53" t="s">
        <v>807</v>
      </c>
      <c r="I436" s="53" t="s">
        <v>2022</v>
      </c>
      <c r="J436" s="53" t="s">
        <v>1147</v>
      </c>
      <c r="K436" s="53" t="s">
        <v>2023</v>
      </c>
      <c r="L436" s="53" t="s">
        <v>15</v>
      </c>
      <c r="M436" s="53" t="s">
        <v>15</v>
      </c>
      <c r="N436" s="53" t="s">
        <v>15</v>
      </c>
      <c r="O436" s="53" t="s">
        <v>15</v>
      </c>
    </row>
    <row r="437" spans="1:15" x14ac:dyDescent="0.25">
      <c r="A437" s="52" t="s">
        <v>4683</v>
      </c>
      <c r="B437" s="54" t="str">
        <f t="shared" si="6"/>
        <v>IC,,ST,LD1117,SOT223</v>
      </c>
      <c r="C437" s="53" t="s">
        <v>15</v>
      </c>
      <c r="D437" s="53" t="s">
        <v>15</v>
      </c>
      <c r="E437" s="53" t="s">
        <v>15</v>
      </c>
      <c r="F437" s="53" t="s">
        <v>15</v>
      </c>
      <c r="G437" s="53"/>
      <c r="H437" s="53" t="s">
        <v>807</v>
      </c>
      <c r="I437" s="53" t="s">
        <v>1494</v>
      </c>
      <c r="J437" s="53" t="s">
        <v>1280</v>
      </c>
      <c r="K437" s="53" t="s">
        <v>2024</v>
      </c>
      <c r="L437" s="53" t="s">
        <v>15</v>
      </c>
      <c r="M437" s="53" t="s">
        <v>15</v>
      </c>
      <c r="N437" s="53" t="s">
        <v>15</v>
      </c>
      <c r="O437" s="53" t="s">
        <v>15</v>
      </c>
    </row>
    <row r="438" spans="1:15" x14ac:dyDescent="0.25">
      <c r="A438" s="52" t="s">
        <v>4684</v>
      </c>
      <c r="B438" s="54" t="str">
        <f t="shared" si="6"/>
        <v>IC,,NXP,PCA9534,SO16W</v>
      </c>
      <c r="C438" s="53" t="s">
        <v>15</v>
      </c>
      <c r="D438" s="53" t="s">
        <v>15</v>
      </c>
      <c r="E438" s="53" t="s">
        <v>15</v>
      </c>
      <c r="F438" s="53" t="s">
        <v>15</v>
      </c>
      <c r="G438" s="53"/>
      <c r="H438" s="53" t="s">
        <v>699</v>
      </c>
      <c r="I438" s="53" t="s">
        <v>2025</v>
      </c>
      <c r="J438" s="53" t="s">
        <v>1165</v>
      </c>
      <c r="K438" s="53" t="s">
        <v>2026</v>
      </c>
      <c r="L438" s="53" t="s">
        <v>15</v>
      </c>
      <c r="M438" s="53" t="s">
        <v>15</v>
      </c>
      <c r="N438" s="53" t="s">
        <v>15</v>
      </c>
      <c r="O438" s="53" t="s">
        <v>15</v>
      </c>
    </row>
    <row r="439" spans="1:15" x14ac:dyDescent="0.25">
      <c r="A439" s="52" t="s">
        <v>4685</v>
      </c>
      <c r="B439" s="54" t="str">
        <f t="shared" si="6"/>
        <v>IC,,LINEAR TECHNOLOGIES,REF102AU/2K5,SO8</v>
      </c>
      <c r="C439" s="53" t="s">
        <v>15</v>
      </c>
      <c r="D439" s="53" t="s">
        <v>15</v>
      </c>
      <c r="E439" s="53" t="s">
        <v>15</v>
      </c>
      <c r="F439" s="53" t="s">
        <v>15</v>
      </c>
      <c r="G439" s="53"/>
      <c r="H439" s="53" t="s">
        <v>1247</v>
      </c>
      <c r="I439" s="53" t="s">
        <v>2027</v>
      </c>
      <c r="J439" s="53" t="s">
        <v>1147</v>
      </c>
      <c r="K439" s="53" t="s">
        <v>2028</v>
      </c>
      <c r="L439" s="53" t="s">
        <v>1971</v>
      </c>
      <c r="M439" s="53" t="s">
        <v>2029</v>
      </c>
      <c r="N439" s="53" t="s">
        <v>15</v>
      </c>
      <c r="O439" s="53" t="s">
        <v>15</v>
      </c>
    </row>
    <row r="440" spans="1:15" x14ac:dyDescent="0.25">
      <c r="A440" s="52" t="s">
        <v>4686</v>
      </c>
      <c r="B440" s="54" t="str">
        <f t="shared" si="6"/>
        <v>IC,,TI,LM337,TO220</v>
      </c>
      <c r="C440" s="53" t="s">
        <v>15</v>
      </c>
      <c r="D440" s="53" t="s">
        <v>15</v>
      </c>
      <c r="E440" s="53" t="s">
        <v>15</v>
      </c>
      <c r="F440" s="53" t="s">
        <v>15</v>
      </c>
      <c r="G440" s="53"/>
      <c r="H440" s="53" t="s">
        <v>1145</v>
      </c>
      <c r="I440" s="53" t="s">
        <v>1606</v>
      </c>
      <c r="J440" s="53" t="s">
        <v>780</v>
      </c>
      <c r="K440" s="53" t="s">
        <v>2030</v>
      </c>
      <c r="L440" s="53" t="s">
        <v>15</v>
      </c>
      <c r="M440" s="53" t="s">
        <v>15</v>
      </c>
      <c r="N440" s="53" t="s">
        <v>15</v>
      </c>
      <c r="O440" s="53" t="s">
        <v>15</v>
      </c>
    </row>
    <row r="441" spans="1:15" x14ac:dyDescent="0.25">
      <c r="A441" s="52" t="s">
        <v>4687</v>
      </c>
      <c r="B441" s="54" t="str">
        <f t="shared" si="6"/>
        <v>IC,,ST,L7912,TO220</v>
      </c>
      <c r="C441" s="53" t="s">
        <v>15</v>
      </c>
      <c r="D441" s="53" t="s">
        <v>15</v>
      </c>
      <c r="E441" s="53" t="s">
        <v>15</v>
      </c>
      <c r="F441" s="53" t="s">
        <v>15</v>
      </c>
      <c r="G441" s="53"/>
      <c r="H441" s="53" t="s">
        <v>807</v>
      </c>
      <c r="I441" s="53" t="s">
        <v>2031</v>
      </c>
      <c r="J441" s="53" t="s">
        <v>780</v>
      </c>
      <c r="K441" s="53" t="s">
        <v>2032</v>
      </c>
      <c r="L441" s="53" t="s">
        <v>15</v>
      </c>
      <c r="M441" s="53" t="s">
        <v>15</v>
      </c>
      <c r="N441" s="53" t="s">
        <v>15</v>
      </c>
      <c r="O441" s="53" t="s">
        <v>15</v>
      </c>
    </row>
    <row r="442" spans="1:15" x14ac:dyDescent="0.25">
      <c r="A442" s="52" t="s">
        <v>4688</v>
      </c>
      <c r="B442" s="54" t="str">
        <f t="shared" si="6"/>
        <v>IC,,JRC,7812C,ISO220</v>
      </c>
      <c r="C442" s="53" t="s">
        <v>15</v>
      </c>
      <c r="D442" s="53" t="s">
        <v>15</v>
      </c>
      <c r="E442" s="53" t="s">
        <v>15</v>
      </c>
      <c r="F442" s="53" t="s">
        <v>15</v>
      </c>
      <c r="G442" s="53"/>
      <c r="H442" s="53" t="s">
        <v>2033</v>
      </c>
      <c r="I442" s="53" t="s">
        <v>2034</v>
      </c>
      <c r="J442" s="53" t="s">
        <v>2035</v>
      </c>
      <c r="K442" s="53" t="s">
        <v>2036</v>
      </c>
      <c r="L442" s="53" t="s">
        <v>15</v>
      </c>
      <c r="M442" s="53" t="s">
        <v>15</v>
      </c>
      <c r="N442" s="53" t="s">
        <v>15</v>
      </c>
      <c r="O442" s="53" t="s">
        <v>15</v>
      </c>
    </row>
    <row r="443" spans="1:15" x14ac:dyDescent="0.25">
      <c r="A443" s="52" t="s">
        <v>4689</v>
      </c>
      <c r="B443" s="54" t="str">
        <f t="shared" si="6"/>
        <v>IC,,ONSEMI,LM337,TO220</v>
      </c>
      <c r="C443" s="53" t="s">
        <v>15</v>
      </c>
      <c r="D443" s="53" t="s">
        <v>15</v>
      </c>
      <c r="E443" s="53" t="s">
        <v>15</v>
      </c>
      <c r="F443" s="53" t="s">
        <v>15</v>
      </c>
      <c r="G443" s="53"/>
      <c r="H443" s="53" t="s">
        <v>685</v>
      </c>
      <c r="I443" s="53" t="s">
        <v>1606</v>
      </c>
      <c r="J443" s="53" t="s">
        <v>780</v>
      </c>
      <c r="K443" s="53" t="s">
        <v>2037</v>
      </c>
      <c r="L443" s="53" t="s">
        <v>15</v>
      </c>
      <c r="M443" s="53" t="s">
        <v>15</v>
      </c>
      <c r="N443" s="53" t="s">
        <v>15</v>
      </c>
      <c r="O443" s="53" t="s">
        <v>15</v>
      </c>
    </row>
    <row r="444" spans="1:15" x14ac:dyDescent="0.25">
      <c r="A444" s="52" t="s">
        <v>4690</v>
      </c>
      <c r="B444" s="54" t="str">
        <f t="shared" si="6"/>
        <v>IC,,ON,LM7815,TO220</v>
      </c>
      <c r="C444" s="53" t="s">
        <v>15</v>
      </c>
      <c r="D444" s="53" t="s">
        <v>15</v>
      </c>
      <c r="E444" s="53" t="s">
        <v>15</v>
      </c>
      <c r="F444" s="53" t="s">
        <v>15</v>
      </c>
      <c r="G444" s="53"/>
      <c r="H444" s="53" t="s">
        <v>1076</v>
      </c>
      <c r="I444" s="53" t="s">
        <v>2038</v>
      </c>
      <c r="J444" s="53" t="s">
        <v>780</v>
      </c>
      <c r="K444" s="53" t="s">
        <v>2039</v>
      </c>
      <c r="L444" s="53" t="s">
        <v>15</v>
      </c>
      <c r="M444" s="53" t="s">
        <v>15</v>
      </c>
      <c r="N444" s="53" t="s">
        <v>15</v>
      </c>
      <c r="O444" s="53" t="s">
        <v>15</v>
      </c>
    </row>
    <row r="445" spans="1:15" x14ac:dyDescent="0.25">
      <c r="A445" s="52" t="s">
        <v>4691</v>
      </c>
      <c r="B445" s="54" t="str">
        <f t="shared" si="6"/>
        <v>IC,,MOTOROLA,MC79M05,TO220</v>
      </c>
      <c r="C445" s="53" t="s">
        <v>15</v>
      </c>
      <c r="D445" s="53" t="s">
        <v>15</v>
      </c>
      <c r="E445" s="53" t="s">
        <v>15</v>
      </c>
      <c r="F445" s="53" t="s">
        <v>15</v>
      </c>
      <c r="G445" s="53"/>
      <c r="H445" s="53" t="s">
        <v>1086</v>
      </c>
      <c r="I445" s="53" t="s">
        <v>2040</v>
      </c>
      <c r="J445" s="53" t="s">
        <v>780</v>
      </c>
      <c r="K445" s="53" t="s">
        <v>2041</v>
      </c>
      <c r="L445" s="53" t="s">
        <v>15</v>
      </c>
      <c r="M445" s="53" t="s">
        <v>15</v>
      </c>
      <c r="N445" s="53" t="s">
        <v>15</v>
      </c>
      <c r="O445" s="53" t="s">
        <v>15</v>
      </c>
    </row>
    <row r="446" spans="1:15" x14ac:dyDescent="0.25">
      <c r="A446" s="52" t="s">
        <v>4692</v>
      </c>
      <c r="B446" s="54" t="str">
        <f t="shared" si="6"/>
        <v>IC,,NATSEMI,LM7806,TO220</v>
      </c>
      <c r="C446" s="53" t="s">
        <v>15</v>
      </c>
      <c r="D446" s="53" t="s">
        <v>15</v>
      </c>
      <c r="E446" s="53" t="s">
        <v>15</v>
      </c>
      <c r="F446" s="53" t="s">
        <v>15</v>
      </c>
      <c r="G446" s="53"/>
      <c r="H446" s="53" t="s">
        <v>1374</v>
      </c>
      <c r="I446" s="53" t="s">
        <v>2042</v>
      </c>
      <c r="J446" s="53" t="s">
        <v>780</v>
      </c>
      <c r="K446" s="53" t="s">
        <v>2043</v>
      </c>
      <c r="L446" s="53" t="s">
        <v>15</v>
      </c>
      <c r="M446" s="53" t="s">
        <v>15</v>
      </c>
      <c r="N446" s="53" t="s">
        <v>15</v>
      </c>
      <c r="O446" s="53" t="s">
        <v>15</v>
      </c>
    </row>
    <row r="447" spans="1:15" x14ac:dyDescent="0.25">
      <c r="A447" s="52" t="s">
        <v>4693</v>
      </c>
      <c r="B447" s="54" t="str">
        <f t="shared" si="6"/>
        <v>IC,,MOTOROLA,MC7805,TO220</v>
      </c>
      <c r="C447" s="53" t="s">
        <v>15</v>
      </c>
      <c r="D447" s="53" t="s">
        <v>15</v>
      </c>
      <c r="E447" s="53" t="s">
        <v>15</v>
      </c>
      <c r="F447" s="53" t="s">
        <v>15</v>
      </c>
      <c r="G447" s="53"/>
      <c r="H447" s="53" t="s">
        <v>1086</v>
      </c>
      <c r="I447" s="53" t="s">
        <v>2044</v>
      </c>
      <c r="J447" s="53" t="s">
        <v>780</v>
      </c>
      <c r="K447" s="53" t="s">
        <v>2045</v>
      </c>
      <c r="L447" s="53" t="s">
        <v>15</v>
      </c>
      <c r="M447" s="53" t="s">
        <v>15</v>
      </c>
      <c r="N447" s="53" t="s">
        <v>15</v>
      </c>
      <c r="O447" s="53" t="s">
        <v>15</v>
      </c>
    </row>
    <row r="448" spans="1:15" x14ac:dyDescent="0.25">
      <c r="A448" s="52" t="s">
        <v>4694</v>
      </c>
      <c r="B448" s="54" t="str">
        <f t="shared" si="6"/>
        <v>IC,,NATSEMI,LM78M12,TO220</v>
      </c>
      <c r="C448" s="53" t="s">
        <v>15</v>
      </c>
      <c r="D448" s="53" t="s">
        <v>15</v>
      </c>
      <c r="E448" s="53" t="s">
        <v>15</v>
      </c>
      <c r="F448" s="53" t="s">
        <v>15</v>
      </c>
      <c r="G448" s="53"/>
      <c r="H448" s="53" t="s">
        <v>1374</v>
      </c>
      <c r="I448" s="53" t="s">
        <v>2046</v>
      </c>
      <c r="J448" s="53" t="s">
        <v>780</v>
      </c>
      <c r="K448" s="53" t="s">
        <v>2047</v>
      </c>
      <c r="L448" s="53" t="s">
        <v>15</v>
      </c>
      <c r="M448" s="53" t="s">
        <v>15</v>
      </c>
      <c r="N448" s="53" t="s">
        <v>15</v>
      </c>
      <c r="O448" s="53" t="s">
        <v>15</v>
      </c>
    </row>
    <row r="449" spans="1:15" x14ac:dyDescent="0.25">
      <c r="A449" s="52" t="s">
        <v>4695</v>
      </c>
      <c r="B449" s="54" t="str">
        <f t="shared" si="6"/>
        <v>IC,,NATSEMI,LM2940-5,TO220</v>
      </c>
      <c r="C449" s="53" t="s">
        <v>15</v>
      </c>
      <c r="D449" s="53" t="s">
        <v>15</v>
      </c>
      <c r="E449" s="53" t="s">
        <v>15</v>
      </c>
      <c r="F449" s="53" t="s">
        <v>15</v>
      </c>
      <c r="G449" s="53"/>
      <c r="H449" s="53" t="s">
        <v>1374</v>
      </c>
      <c r="I449" s="53" t="s">
        <v>2048</v>
      </c>
      <c r="J449" s="53" t="s">
        <v>780</v>
      </c>
      <c r="K449" s="53" t="s">
        <v>2049</v>
      </c>
      <c r="L449" s="53" t="s">
        <v>15</v>
      </c>
      <c r="M449" s="53" t="s">
        <v>15</v>
      </c>
      <c r="N449" s="53" t="s">
        <v>15</v>
      </c>
      <c r="O449" s="53" t="s">
        <v>15</v>
      </c>
    </row>
    <row r="450" spans="1:15" x14ac:dyDescent="0.25">
      <c r="A450" s="52" t="s">
        <v>4696</v>
      </c>
      <c r="B450" s="54" t="str">
        <f t="shared" si="6"/>
        <v>IC,,FAIRCHILD,78M08,TO220</v>
      </c>
      <c r="C450" s="53" t="s">
        <v>15</v>
      </c>
      <c r="D450" s="53" t="s">
        <v>15</v>
      </c>
      <c r="E450" s="53" t="s">
        <v>15</v>
      </c>
      <c r="F450" s="53" t="s">
        <v>15</v>
      </c>
      <c r="G450" s="53"/>
      <c r="H450" s="53" t="s">
        <v>764</v>
      </c>
      <c r="I450" s="53" t="s">
        <v>2050</v>
      </c>
      <c r="J450" s="53" t="s">
        <v>780</v>
      </c>
      <c r="K450" s="53" t="s">
        <v>2051</v>
      </c>
      <c r="L450" s="53" t="s">
        <v>15</v>
      </c>
      <c r="M450" s="53" t="s">
        <v>15</v>
      </c>
      <c r="N450" s="53" t="s">
        <v>15</v>
      </c>
      <c r="O450" s="53" t="s">
        <v>15</v>
      </c>
    </row>
    <row r="451" spans="1:15" x14ac:dyDescent="0.25">
      <c r="A451" s="52" t="s">
        <v>4697</v>
      </c>
      <c r="B451" s="54" t="str">
        <f t="shared" ref="B451:B514" si="7">_xlfn.CONCAT("IC,",G451,",",H451,",",I451,",",J451)</f>
        <v>IC,,ST,LM317,TO220</v>
      </c>
      <c r="C451" s="53" t="s">
        <v>15</v>
      </c>
      <c r="D451" s="53" t="s">
        <v>15</v>
      </c>
      <c r="E451" s="53" t="s">
        <v>15</v>
      </c>
      <c r="F451" s="53" t="s">
        <v>15</v>
      </c>
      <c r="G451" s="53"/>
      <c r="H451" s="53" t="s">
        <v>807</v>
      </c>
      <c r="I451" s="53" t="s">
        <v>1604</v>
      </c>
      <c r="J451" s="53" t="s">
        <v>780</v>
      </c>
      <c r="K451" s="53" t="s">
        <v>2052</v>
      </c>
      <c r="L451" s="53" t="s">
        <v>15</v>
      </c>
      <c r="M451" s="53" t="s">
        <v>15</v>
      </c>
      <c r="N451" s="53" t="s">
        <v>15</v>
      </c>
      <c r="O451" s="53" t="s">
        <v>15</v>
      </c>
    </row>
    <row r="452" spans="1:15" x14ac:dyDescent="0.25">
      <c r="A452" s="52" t="s">
        <v>4698</v>
      </c>
      <c r="B452" s="54" t="str">
        <f t="shared" si="7"/>
        <v>IC,,NATSEMI,LM340T5,TO220</v>
      </c>
      <c r="C452" s="53" t="s">
        <v>15</v>
      </c>
      <c r="D452" s="53" t="s">
        <v>15</v>
      </c>
      <c r="E452" s="53" t="s">
        <v>15</v>
      </c>
      <c r="F452" s="53" t="s">
        <v>15</v>
      </c>
      <c r="G452" s="53"/>
      <c r="H452" s="53" t="s">
        <v>1374</v>
      </c>
      <c r="I452" s="53" t="s">
        <v>2053</v>
      </c>
      <c r="J452" s="53" t="s">
        <v>780</v>
      </c>
      <c r="K452" s="53" t="s">
        <v>2054</v>
      </c>
      <c r="L452" s="53" t="s">
        <v>15</v>
      </c>
      <c r="M452" s="53" t="s">
        <v>15</v>
      </c>
      <c r="N452" s="53" t="s">
        <v>15</v>
      </c>
      <c r="O452" s="53" t="s">
        <v>15</v>
      </c>
    </row>
    <row r="453" spans="1:15" x14ac:dyDescent="0.25">
      <c r="A453" s="52" t="s">
        <v>4699</v>
      </c>
      <c r="B453" s="54" t="str">
        <f t="shared" si="7"/>
        <v>IC,,MAXIM,MAX727,TO220-5</v>
      </c>
      <c r="C453" s="53" t="s">
        <v>15</v>
      </c>
      <c r="D453" s="53" t="s">
        <v>15</v>
      </c>
      <c r="E453" s="53" t="s">
        <v>15</v>
      </c>
      <c r="F453" s="53" t="s">
        <v>15</v>
      </c>
      <c r="G453" s="53"/>
      <c r="H453" s="53" t="s">
        <v>1229</v>
      </c>
      <c r="I453" s="53" t="s">
        <v>2055</v>
      </c>
      <c r="J453" s="53" t="s">
        <v>1787</v>
      </c>
      <c r="K453" s="53" t="s">
        <v>2056</v>
      </c>
      <c r="L453" s="53" t="s">
        <v>15</v>
      </c>
      <c r="M453" s="53" t="s">
        <v>15</v>
      </c>
      <c r="N453" s="53" t="s">
        <v>15</v>
      </c>
      <c r="O453" s="53" t="s">
        <v>15</v>
      </c>
    </row>
    <row r="454" spans="1:15" x14ac:dyDescent="0.25">
      <c r="A454" s="52" t="s">
        <v>4700</v>
      </c>
      <c r="B454" s="54" t="str">
        <f t="shared" si="7"/>
        <v>IC,,MAXIM,MAX660,DIP8</v>
      </c>
      <c r="C454" s="53" t="s">
        <v>15</v>
      </c>
      <c r="D454" s="53" t="s">
        <v>15</v>
      </c>
      <c r="E454" s="53" t="s">
        <v>15</v>
      </c>
      <c r="F454" s="53" t="s">
        <v>15</v>
      </c>
      <c r="G454" s="53"/>
      <c r="H454" s="53" t="s">
        <v>1229</v>
      </c>
      <c r="I454" s="53" t="s">
        <v>2057</v>
      </c>
      <c r="J454" s="53" t="s">
        <v>423</v>
      </c>
      <c r="K454" s="53" t="s">
        <v>2058</v>
      </c>
      <c r="L454" s="53" t="s">
        <v>15</v>
      </c>
      <c r="M454" s="53" t="s">
        <v>15</v>
      </c>
      <c r="N454" s="53" t="s">
        <v>15</v>
      </c>
      <c r="O454" s="53" t="s">
        <v>15</v>
      </c>
    </row>
    <row r="455" spans="1:15" x14ac:dyDescent="0.25">
      <c r="A455" s="52" t="s">
        <v>4701</v>
      </c>
      <c r="B455" s="54" t="str">
        <f t="shared" si="7"/>
        <v>IC,,ST,LM393,DIP8</v>
      </c>
      <c r="C455" s="53" t="s">
        <v>15</v>
      </c>
      <c r="D455" s="53" t="s">
        <v>15</v>
      </c>
      <c r="E455" s="53" t="s">
        <v>15</v>
      </c>
      <c r="F455" s="53" t="s">
        <v>15</v>
      </c>
      <c r="G455" s="53"/>
      <c r="H455" s="53" t="s">
        <v>807</v>
      </c>
      <c r="I455" s="53" t="s">
        <v>1401</v>
      </c>
      <c r="J455" s="53" t="s">
        <v>423</v>
      </c>
      <c r="K455" s="53" t="s">
        <v>2059</v>
      </c>
      <c r="L455" s="53" t="s">
        <v>15</v>
      </c>
      <c r="M455" s="53" t="s">
        <v>15</v>
      </c>
      <c r="N455" s="53" t="s">
        <v>15</v>
      </c>
      <c r="O455" s="53" t="s">
        <v>15</v>
      </c>
    </row>
    <row r="456" spans="1:15" x14ac:dyDescent="0.25">
      <c r="A456" s="52" t="s">
        <v>4702</v>
      </c>
      <c r="B456" s="54" t="str">
        <f t="shared" si="7"/>
        <v>IC,,NATSEMI,LM339,DIP14</v>
      </c>
      <c r="C456" s="53" t="s">
        <v>15</v>
      </c>
      <c r="D456" s="53" t="s">
        <v>15</v>
      </c>
      <c r="E456" s="53" t="s">
        <v>15</v>
      </c>
      <c r="F456" s="53" t="s">
        <v>15</v>
      </c>
      <c r="G456" s="53"/>
      <c r="H456" s="53" t="s">
        <v>1374</v>
      </c>
      <c r="I456" s="53" t="s">
        <v>1485</v>
      </c>
      <c r="J456" s="53" t="s">
        <v>428</v>
      </c>
      <c r="K456" s="53" t="s">
        <v>2060</v>
      </c>
      <c r="L456" s="53" t="s">
        <v>15</v>
      </c>
      <c r="M456" s="53" t="s">
        <v>15</v>
      </c>
      <c r="N456" s="53" t="s">
        <v>15</v>
      </c>
      <c r="O456" s="53" t="s">
        <v>15</v>
      </c>
    </row>
    <row r="457" spans="1:15" x14ac:dyDescent="0.25">
      <c r="A457" s="52" t="s">
        <v>4703</v>
      </c>
      <c r="B457" s="54" t="str">
        <f t="shared" si="7"/>
        <v>IC,,MOTOROLA,MOC3010,DIP8</v>
      </c>
      <c r="C457" s="53" t="s">
        <v>15</v>
      </c>
      <c r="D457" s="53" t="s">
        <v>15</v>
      </c>
      <c r="E457" s="53" t="s">
        <v>15</v>
      </c>
      <c r="F457" s="53" t="s">
        <v>15</v>
      </c>
      <c r="G457" s="53"/>
      <c r="H457" s="53" t="s">
        <v>1086</v>
      </c>
      <c r="I457" s="53" t="s">
        <v>2061</v>
      </c>
      <c r="J457" s="53" t="s">
        <v>423</v>
      </c>
      <c r="K457" s="53" t="s">
        <v>2062</v>
      </c>
      <c r="L457" s="53" t="s">
        <v>15</v>
      </c>
      <c r="M457" s="53" t="s">
        <v>15</v>
      </c>
      <c r="N457" s="53" t="s">
        <v>15</v>
      </c>
      <c r="O457" s="53" t="s">
        <v>15</v>
      </c>
    </row>
    <row r="458" spans="1:15" x14ac:dyDescent="0.25">
      <c r="A458" s="52" t="s">
        <v>4704</v>
      </c>
      <c r="B458" s="54" t="str">
        <f t="shared" si="7"/>
        <v>IC,,ASAHI KASEI,AK9201,DIP28</v>
      </c>
      <c r="C458" s="53" t="s">
        <v>15</v>
      </c>
      <c r="D458" s="53" t="s">
        <v>15</v>
      </c>
      <c r="E458" s="53" t="s">
        <v>15</v>
      </c>
      <c r="F458" s="53" t="s">
        <v>15</v>
      </c>
      <c r="G458" s="53"/>
      <c r="H458" s="53" t="s">
        <v>2063</v>
      </c>
      <c r="I458" s="53" t="s">
        <v>2064</v>
      </c>
      <c r="J458" s="53" t="s">
        <v>1803</v>
      </c>
      <c r="K458" s="53" t="s">
        <v>2065</v>
      </c>
      <c r="L458" s="53" t="s">
        <v>15</v>
      </c>
      <c r="M458" s="53" t="s">
        <v>15</v>
      </c>
      <c r="N458" s="53" t="s">
        <v>15</v>
      </c>
      <c r="O458" s="53" t="s">
        <v>15</v>
      </c>
    </row>
    <row r="459" spans="1:15" x14ac:dyDescent="0.25">
      <c r="A459" s="52" t="s">
        <v>4705</v>
      </c>
      <c r="B459" s="54" t="str">
        <f t="shared" si="7"/>
        <v>IC,,NATSEMI,LM723,DIP14</v>
      </c>
      <c r="C459" s="53" t="s">
        <v>15</v>
      </c>
      <c r="D459" s="53" t="s">
        <v>15</v>
      </c>
      <c r="E459" s="53" t="s">
        <v>15</v>
      </c>
      <c r="F459" s="53" t="s">
        <v>15</v>
      </c>
      <c r="G459" s="53"/>
      <c r="H459" s="53" t="s">
        <v>1374</v>
      </c>
      <c r="I459" s="53" t="s">
        <v>2066</v>
      </c>
      <c r="J459" s="53" t="s">
        <v>428</v>
      </c>
      <c r="K459" s="53" t="s">
        <v>2067</v>
      </c>
      <c r="L459" s="53" t="s">
        <v>15</v>
      </c>
      <c r="M459" s="53" t="s">
        <v>15</v>
      </c>
      <c r="N459" s="53" t="s">
        <v>15</v>
      </c>
      <c r="O459" s="53" t="s">
        <v>15</v>
      </c>
    </row>
    <row r="460" spans="1:15" x14ac:dyDescent="0.25">
      <c r="A460" s="52" t="s">
        <v>4706</v>
      </c>
      <c r="B460" s="54" t="str">
        <f t="shared" si="7"/>
        <v>IC,,NXP,TDA8924,POWERSO24</v>
      </c>
      <c r="C460" s="53" t="s">
        <v>15</v>
      </c>
      <c r="D460" s="53" t="s">
        <v>15</v>
      </c>
      <c r="E460" s="53" t="s">
        <v>15</v>
      </c>
      <c r="F460" s="53" t="s">
        <v>15</v>
      </c>
      <c r="G460" s="53"/>
      <c r="H460" s="53" t="s">
        <v>699</v>
      </c>
      <c r="I460" s="53" t="s">
        <v>2068</v>
      </c>
      <c r="J460" s="53" t="s">
        <v>2069</v>
      </c>
      <c r="K460" s="53" t="s">
        <v>2070</v>
      </c>
      <c r="L460" s="53" t="s">
        <v>15</v>
      </c>
      <c r="M460" s="53" t="s">
        <v>15</v>
      </c>
      <c r="N460" s="53" t="s">
        <v>15</v>
      </c>
      <c r="O460" s="53" t="s">
        <v>15</v>
      </c>
    </row>
    <row r="461" spans="1:15" x14ac:dyDescent="0.25">
      <c r="A461" s="52" t="s">
        <v>4707</v>
      </c>
      <c r="B461" s="54" t="str">
        <f t="shared" si="7"/>
        <v>IC,,NATSEMI,LM2925T,TO220-5</v>
      </c>
      <c r="C461" s="53" t="s">
        <v>15</v>
      </c>
      <c r="D461" s="53" t="s">
        <v>15</v>
      </c>
      <c r="E461" s="53" t="s">
        <v>15</v>
      </c>
      <c r="F461" s="53" t="s">
        <v>15</v>
      </c>
      <c r="G461" s="53"/>
      <c r="H461" s="53" t="s">
        <v>1374</v>
      </c>
      <c r="I461" s="53" t="s">
        <v>2071</v>
      </c>
      <c r="J461" s="53" t="s">
        <v>1787</v>
      </c>
      <c r="K461" s="53" t="s">
        <v>2072</v>
      </c>
      <c r="L461" s="53" t="s">
        <v>15</v>
      </c>
      <c r="M461" s="53" t="s">
        <v>15</v>
      </c>
      <c r="N461" s="53" t="s">
        <v>15</v>
      </c>
      <c r="O461" s="53" t="s">
        <v>15</v>
      </c>
    </row>
    <row r="462" spans="1:15" x14ac:dyDescent="0.25">
      <c r="A462" s="52" t="s">
        <v>4708</v>
      </c>
      <c r="B462" s="54" t="str">
        <f t="shared" si="7"/>
        <v>IC,,SAMSUNG,MC7915,TO220</v>
      </c>
      <c r="C462" s="53" t="s">
        <v>15</v>
      </c>
      <c r="D462" s="53" t="s">
        <v>15</v>
      </c>
      <c r="E462" s="53" t="s">
        <v>15</v>
      </c>
      <c r="F462" s="53" t="s">
        <v>15</v>
      </c>
      <c r="G462" s="53"/>
      <c r="H462" s="53" t="s">
        <v>1515</v>
      </c>
      <c r="I462" s="53" t="s">
        <v>2073</v>
      </c>
      <c r="J462" s="53" t="s">
        <v>780</v>
      </c>
      <c r="K462" s="53" t="s">
        <v>2074</v>
      </c>
      <c r="L462" s="53" t="s">
        <v>15</v>
      </c>
      <c r="M462" s="53" t="s">
        <v>15</v>
      </c>
      <c r="N462" s="53" t="s">
        <v>15</v>
      </c>
      <c r="O462" s="53" t="s">
        <v>15</v>
      </c>
    </row>
    <row r="463" spans="1:15" x14ac:dyDescent="0.25">
      <c r="A463" s="52" t="s">
        <v>4709</v>
      </c>
      <c r="B463" s="54" t="str">
        <f t="shared" si="7"/>
        <v>IC,,TI,TMS99C14,DIP40</v>
      </c>
      <c r="C463" s="53" t="s">
        <v>15</v>
      </c>
      <c r="D463" s="53" t="s">
        <v>15</v>
      </c>
      <c r="E463" s="53" t="s">
        <v>15</v>
      </c>
      <c r="F463" s="53" t="s">
        <v>15</v>
      </c>
      <c r="G463" s="53"/>
      <c r="H463" s="53" t="s">
        <v>1145</v>
      </c>
      <c r="I463" s="53" t="s">
        <v>2075</v>
      </c>
      <c r="J463" s="53" t="s">
        <v>1771</v>
      </c>
      <c r="K463" s="53" t="s">
        <v>2076</v>
      </c>
      <c r="L463" s="53" t="s">
        <v>15</v>
      </c>
      <c r="M463" s="53" t="s">
        <v>15</v>
      </c>
      <c r="N463" s="53" t="s">
        <v>15</v>
      </c>
      <c r="O463" s="53" t="s">
        <v>15</v>
      </c>
    </row>
    <row r="464" spans="1:15" x14ac:dyDescent="0.25">
      <c r="A464" s="52" t="s">
        <v>4710</v>
      </c>
      <c r="B464" s="54" t="str">
        <f t="shared" si="7"/>
        <v>IC,,ALTERA,EPM7256AQC208,TQFP208</v>
      </c>
      <c r="C464" s="53" t="s">
        <v>15</v>
      </c>
      <c r="D464" s="53" t="s">
        <v>15</v>
      </c>
      <c r="E464" s="53" t="s">
        <v>15</v>
      </c>
      <c r="F464" s="53" t="s">
        <v>15</v>
      </c>
      <c r="G464" s="53"/>
      <c r="H464" s="53" t="s">
        <v>1567</v>
      </c>
      <c r="I464" s="53" t="s">
        <v>2077</v>
      </c>
      <c r="J464" s="53" t="s">
        <v>2078</v>
      </c>
      <c r="K464" s="53" t="s">
        <v>2079</v>
      </c>
      <c r="L464" s="53" t="s">
        <v>15</v>
      </c>
      <c r="M464" s="53" t="s">
        <v>15</v>
      </c>
      <c r="N464" s="53" t="s">
        <v>15</v>
      </c>
      <c r="O464" s="53" t="s">
        <v>15</v>
      </c>
    </row>
    <row r="465" spans="1:15" x14ac:dyDescent="0.25">
      <c r="A465" s="52" t="s">
        <v>4711</v>
      </c>
      <c r="B465" s="54" t="str">
        <f t="shared" si="7"/>
        <v>IC,,APEX,PA19,TO3-8</v>
      </c>
      <c r="C465" s="53" t="s">
        <v>15</v>
      </c>
      <c r="D465" s="53" t="s">
        <v>15</v>
      </c>
      <c r="E465" s="53" t="s">
        <v>15</v>
      </c>
      <c r="F465" s="53" t="s">
        <v>15</v>
      </c>
      <c r="G465" s="53"/>
      <c r="H465" s="53" t="s">
        <v>2080</v>
      </c>
      <c r="I465" s="53" t="s">
        <v>2081</v>
      </c>
      <c r="J465" s="53" t="s">
        <v>2082</v>
      </c>
      <c r="K465" s="53" t="s">
        <v>2083</v>
      </c>
      <c r="L465" s="53" t="s">
        <v>15</v>
      </c>
      <c r="M465" s="53" t="s">
        <v>15</v>
      </c>
      <c r="N465" s="53" t="s">
        <v>15</v>
      </c>
      <c r="O465" s="53" t="s">
        <v>15</v>
      </c>
    </row>
    <row r="466" spans="1:15" x14ac:dyDescent="0.25">
      <c r="A466" s="52" t="s">
        <v>4712</v>
      </c>
      <c r="B466" s="54" t="str">
        <f t="shared" si="7"/>
        <v>IC,,ELANTEC,ELH0021CK,TO3-8</v>
      </c>
      <c r="C466" s="53" t="s">
        <v>15</v>
      </c>
      <c r="D466" s="53" t="s">
        <v>15</v>
      </c>
      <c r="E466" s="53" t="s">
        <v>15</v>
      </c>
      <c r="F466" s="53" t="s">
        <v>15</v>
      </c>
      <c r="G466" s="53"/>
      <c r="H466" s="53" t="s">
        <v>1636</v>
      </c>
      <c r="I466" s="53" t="s">
        <v>2084</v>
      </c>
      <c r="J466" s="53" t="s">
        <v>2082</v>
      </c>
      <c r="K466" s="53" t="s">
        <v>2085</v>
      </c>
      <c r="L466" s="53" t="s">
        <v>15</v>
      </c>
      <c r="M466" s="53" t="s">
        <v>15</v>
      </c>
      <c r="N466" s="53" t="s">
        <v>15</v>
      </c>
      <c r="O466" s="53" t="s">
        <v>15</v>
      </c>
    </row>
    <row r="467" spans="1:15" x14ac:dyDescent="0.25">
      <c r="A467" s="52" t="s">
        <v>4713</v>
      </c>
      <c r="B467" s="54" t="str">
        <f t="shared" si="7"/>
        <v>IC,,ELANTEC,EL2008,TO3-8</v>
      </c>
      <c r="C467" s="53" t="s">
        <v>15</v>
      </c>
      <c r="D467" s="53" t="s">
        <v>15</v>
      </c>
      <c r="E467" s="53" t="s">
        <v>15</v>
      </c>
      <c r="F467" s="53" t="s">
        <v>15</v>
      </c>
      <c r="G467" s="53"/>
      <c r="H467" s="53" t="s">
        <v>1636</v>
      </c>
      <c r="I467" s="53" t="s">
        <v>1637</v>
      </c>
      <c r="J467" s="53" t="s">
        <v>2082</v>
      </c>
      <c r="K467" s="53" t="s">
        <v>2086</v>
      </c>
      <c r="L467" s="53" t="s">
        <v>15</v>
      </c>
      <c r="M467" s="53" t="s">
        <v>15</v>
      </c>
      <c r="N467" s="53" t="s">
        <v>15</v>
      </c>
      <c r="O467" s="53" t="s">
        <v>15</v>
      </c>
    </row>
    <row r="468" spans="1:15" x14ac:dyDescent="0.25">
      <c r="A468" s="52" t="s">
        <v>4714</v>
      </c>
      <c r="B468" s="54" t="str">
        <f t="shared" si="7"/>
        <v>IC,,NATIONAL,LH0021,TO3-8</v>
      </c>
      <c r="C468" s="53" t="s">
        <v>15</v>
      </c>
      <c r="D468" s="53" t="s">
        <v>15</v>
      </c>
      <c r="E468" s="53" t="s">
        <v>15</v>
      </c>
      <c r="F468" s="53" t="s">
        <v>15</v>
      </c>
      <c r="G468" s="53"/>
      <c r="H468" s="53" t="s">
        <v>1556</v>
      </c>
      <c r="I468" s="53" t="s">
        <v>2087</v>
      </c>
      <c r="J468" s="53" t="s">
        <v>2082</v>
      </c>
      <c r="K468" s="53" t="s">
        <v>2088</v>
      </c>
      <c r="L468" s="53" t="s">
        <v>15</v>
      </c>
      <c r="M468" s="53" t="s">
        <v>15</v>
      </c>
      <c r="N468" s="53" t="s">
        <v>15</v>
      </c>
      <c r="O468" s="53" t="s">
        <v>15</v>
      </c>
    </row>
    <row r="469" spans="1:15" x14ac:dyDescent="0.25">
      <c r="A469" s="52" t="s">
        <v>4715</v>
      </c>
      <c r="B469" s="54" t="str">
        <f t="shared" si="7"/>
        <v>IC,,MOTOROLA,MC74HC04,DIP14</v>
      </c>
      <c r="C469" s="53" t="s">
        <v>15</v>
      </c>
      <c r="D469" s="53" t="s">
        <v>15</v>
      </c>
      <c r="E469" s="53" t="s">
        <v>15</v>
      </c>
      <c r="F469" s="53" t="s">
        <v>15</v>
      </c>
      <c r="G469" s="53"/>
      <c r="H469" s="53" t="s">
        <v>1086</v>
      </c>
      <c r="I469" s="53" t="s">
        <v>2089</v>
      </c>
      <c r="J469" s="53" t="s">
        <v>428</v>
      </c>
      <c r="K469" s="53" t="s">
        <v>2090</v>
      </c>
      <c r="L469" s="53" t="s">
        <v>15</v>
      </c>
      <c r="M469" s="53" t="s">
        <v>15</v>
      </c>
      <c r="N469" s="53" t="s">
        <v>15</v>
      </c>
      <c r="O469" s="53" t="s">
        <v>15</v>
      </c>
    </row>
    <row r="470" spans="1:15" x14ac:dyDescent="0.25">
      <c r="A470" s="52" t="s">
        <v>4716</v>
      </c>
      <c r="B470" s="54" t="str">
        <f t="shared" si="7"/>
        <v>IC,,TI,SN74HC86,DIP14</v>
      </c>
      <c r="C470" s="53" t="s">
        <v>15</v>
      </c>
      <c r="D470" s="53" t="s">
        <v>15</v>
      </c>
      <c r="E470" s="53" t="s">
        <v>15</v>
      </c>
      <c r="F470" s="53" t="s">
        <v>15</v>
      </c>
      <c r="G470" s="53"/>
      <c r="H470" s="53" t="s">
        <v>1145</v>
      </c>
      <c r="I470" s="53" t="s">
        <v>2091</v>
      </c>
      <c r="J470" s="53" t="s">
        <v>428</v>
      </c>
      <c r="K470" s="53" t="s">
        <v>2092</v>
      </c>
      <c r="L470" s="53" t="s">
        <v>15</v>
      </c>
      <c r="M470" s="53" t="s">
        <v>15</v>
      </c>
      <c r="N470" s="53" t="s">
        <v>15</v>
      </c>
      <c r="O470" s="53" t="s">
        <v>15</v>
      </c>
    </row>
    <row r="471" spans="1:15" x14ac:dyDescent="0.25">
      <c r="A471" s="52" t="s">
        <v>4717</v>
      </c>
      <c r="B471" s="54" t="str">
        <f t="shared" si="7"/>
        <v>IC,,TI,SN74HC00,DIP14</v>
      </c>
      <c r="C471" s="53" t="s">
        <v>15</v>
      </c>
      <c r="D471" s="53" t="s">
        <v>15</v>
      </c>
      <c r="E471" s="53" t="s">
        <v>15</v>
      </c>
      <c r="F471" s="53" t="s">
        <v>15</v>
      </c>
      <c r="G471" s="53"/>
      <c r="H471" s="53" t="s">
        <v>1145</v>
      </c>
      <c r="I471" s="53" t="s">
        <v>2093</v>
      </c>
      <c r="J471" s="53" t="s">
        <v>428</v>
      </c>
      <c r="K471" s="53" t="s">
        <v>2094</v>
      </c>
      <c r="L471" s="53" t="s">
        <v>15</v>
      </c>
      <c r="M471" s="53" t="s">
        <v>15</v>
      </c>
      <c r="N471" s="53" t="s">
        <v>15</v>
      </c>
      <c r="O471" s="53" t="s">
        <v>15</v>
      </c>
    </row>
    <row r="472" spans="1:15" x14ac:dyDescent="0.25">
      <c r="A472" s="52" t="s">
        <v>4718</v>
      </c>
      <c r="B472" s="54" t="str">
        <f t="shared" si="7"/>
        <v>IC,,TI,SN74HC21,DIP14</v>
      </c>
      <c r="C472" s="53" t="s">
        <v>15</v>
      </c>
      <c r="D472" s="53" t="s">
        <v>15</v>
      </c>
      <c r="E472" s="53" t="s">
        <v>15</v>
      </c>
      <c r="F472" s="53" t="s">
        <v>15</v>
      </c>
      <c r="G472" s="53"/>
      <c r="H472" s="53" t="s">
        <v>1145</v>
      </c>
      <c r="I472" s="53" t="s">
        <v>2095</v>
      </c>
      <c r="J472" s="53" t="s">
        <v>428</v>
      </c>
      <c r="K472" s="53" t="s">
        <v>2096</v>
      </c>
      <c r="L472" s="53" t="s">
        <v>15</v>
      </c>
      <c r="M472" s="53" t="s">
        <v>15</v>
      </c>
      <c r="N472" s="53" t="s">
        <v>15</v>
      </c>
      <c r="O472" s="53" t="s">
        <v>15</v>
      </c>
    </row>
    <row r="473" spans="1:15" x14ac:dyDescent="0.25">
      <c r="A473" s="52" t="s">
        <v>4719</v>
      </c>
      <c r="B473" s="54" t="str">
        <f t="shared" si="7"/>
        <v>IC,,MOTOROLA,MC14051,DIP16</v>
      </c>
      <c r="C473" s="53" t="s">
        <v>15</v>
      </c>
      <c r="D473" s="53" t="s">
        <v>15</v>
      </c>
      <c r="E473" s="53" t="s">
        <v>15</v>
      </c>
      <c r="F473" s="53" t="s">
        <v>15</v>
      </c>
      <c r="G473" s="53"/>
      <c r="H473" s="53" t="s">
        <v>1086</v>
      </c>
      <c r="I473" s="53" t="s">
        <v>2097</v>
      </c>
      <c r="J473" s="53" t="s">
        <v>432</v>
      </c>
      <c r="K473" s="53" t="s">
        <v>2098</v>
      </c>
      <c r="L473" s="53" t="s">
        <v>15</v>
      </c>
      <c r="M473" s="53" t="s">
        <v>15</v>
      </c>
      <c r="N473" s="53" t="s">
        <v>15</v>
      </c>
      <c r="O473" s="53" t="s">
        <v>15</v>
      </c>
    </row>
    <row r="474" spans="1:15" x14ac:dyDescent="0.25">
      <c r="A474" s="52" t="s">
        <v>4720</v>
      </c>
      <c r="B474" s="54" t="str">
        <f t="shared" si="7"/>
        <v>IC,,SST,39SF020,PLCC3</v>
      </c>
      <c r="C474" s="53" t="s">
        <v>15</v>
      </c>
      <c r="D474" s="53" t="s">
        <v>15</v>
      </c>
      <c r="E474" s="53" t="s">
        <v>15</v>
      </c>
      <c r="F474" s="53" t="s">
        <v>15</v>
      </c>
      <c r="G474" s="53"/>
      <c r="H474" s="53" t="s">
        <v>1512</v>
      </c>
      <c r="I474" s="53" t="s">
        <v>2099</v>
      </c>
      <c r="J474" s="53" t="s">
        <v>2100</v>
      </c>
      <c r="K474" s="53" t="s">
        <v>2101</v>
      </c>
      <c r="L474" s="53" t="s">
        <v>15</v>
      </c>
      <c r="M474" s="53" t="s">
        <v>15</v>
      </c>
      <c r="N474" s="53" t="s">
        <v>15</v>
      </c>
      <c r="O474" s="53" t="s">
        <v>15</v>
      </c>
    </row>
    <row r="475" spans="1:15" x14ac:dyDescent="0.25">
      <c r="A475" s="52" t="s">
        <v>4721</v>
      </c>
      <c r="B475" s="54" t="str">
        <f t="shared" si="7"/>
        <v>IC,,TI,LM311P,DIP8</v>
      </c>
      <c r="C475" s="53" t="s">
        <v>15</v>
      </c>
      <c r="D475" s="53" t="s">
        <v>15</v>
      </c>
      <c r="E475" s="53" t="s">
        <v>15</v>
      </c>
      <c r="F475" s="53" t="s">
        <v>15</v>
      </c>
      <c r="G475" s="53"/>
      <c r="H475" s="53" t="s">
        <v>1145</v>
      </c>
      <c r="I475" s="53" t="s">
        <v>2102</v>
      </c>
      <c r="J475" s="53" t="s">
        <v>423</v>
      </c>
      <c r="K475" s="53" t="s">
        <v>2103</v>
      </c>
      <c r="L475" s="53" t="s">
        <v>15</v>
      </c>
      <c r="M475" s="53" t="s">
        <v>15</v>
      </c>
      <c r="N475" s="53" t="s">
        <v>15</v>
      </c>
      <c r="O475" s="53" t="s">
        <v>15</v>
      </c>
    </row>
    <row r="476" spans="1:15" x14ac:dyDescent="0.25">
      <c r="A476" s="52" t="s">
        <v>4722</v>
      </c>
      <c r="B476" s="54" t="str">
        <f t="shared" si="7"/>
        <v>IC,,TI,LF411CP,DIP8</v>
      </c>
      <c r="C476" s="53" t="s">
        <v>15</v>
      </c>
      <c r="D476" s="53" t="s">
        <v>15</v>
      </c>
      <c r="E476" s="53" t="s">
        <v>15</v>
      </c>
      <c r="F476" s="53" t="s">
        <v>15</v>
      </c>
      <c r="G476" s="53"/>
      <c r="H476" s="53" t="s">
        <v>1145</v>
      </c>
      <c r="I476" s="53" t="s">
        <v>1550</v>
      </c>
      <c r="J476" s="53" t="s">
        <v>423</v>
      </c>
      <c r="K476" s="53" t="s">
        <v>2104</v>
      </c>
      <c r="L476" s="53" t="s">
        <v>15</v>
      </c>
      <c r="M476" s="53" t="s">
        <v>15</v>
      </c>
      <c r="N476" s="53" t="s">
        <v>15</v>
      </c>
      <c r="O476" s="53" t="s">
        <v>15</v>
      </c>
    </row>
    <row r="477" spans="1:15" x14ac:dyDescent="0.25">
      <c r="A477" s="52" t="s">
        <v>4723</v>
      </c>
      <c r="B477" s="54" t="str">
        <f t="shared" si="7"/>
        <v>IC,,NATIONAL,LMD18201,PENTAWATT</v>
      </c>
      <c r="C477" s="53" t="s">
        <v>15</v>
      </c>
      <c r="D477" s="53" t="s">
        <v>15</v>
      </c>
      <c r="E477" s="53" t="s">
        <v>15</v>
      </c>
      <c r="F477" s="53" t="s">
        <v>15</v>
      </c>
      <c r="G477" s="53"/>
      <c r="H477" s="53" t="s">
        <v>1556</v>
      </c>
      <c r="I477" s="53" t="s">
        <v>1632</v>
      </c>
      <c r="J477" s="53" t="s">
        <v>2105</v>
      </c>
      <c r="K477" s="53" t="s">
        <v>2106</v>
      </c>
      <c r="L477" s="53" t="s">
        <v>15</v>
      </c>
      <c r="M477" s="53" t="s">
        <v>15</v>
      </c>
      <c r="N477" s="53" t="s">
        <v>15</v>
      </c>
      <c r="O477" s="53" t="s">
        <v>15</v>
      </c>
    </row>
    <row r="478" spans="1:15" x14ac:dyDescent="0.25">
      <c r="A478" s="52" t="s">
        <v>4724</v>
      </c>
      <c r="B478" s="54" t="str">
        <f t="shared" si="7"/>
        <v>IC,,ST,L4931CZ33-AP,TO92</v>
      </c>
      <c r="C478" s="53" t="s">
        <v>15</v>
      </c>
      <c r="D478" s="53" t="s">
        <v>15</v>
      </c>
      <c r="E478" s="53" t="s">
        <v>15</v>
      </c>
      <c r="F478" s="53" t="s">
        <v>15</v>
      </c>
      <c r="G478" s="53"/>
      <c r="H478" s="53" t="s">
        <v>807</v>
      </c>
      <c r="I478" s="53" t="s">
        <v>2107</v>
      </c>
      <c r="J478" s="53" t="s">
        <v>1540</v>
      </c>
      <c r="K478" s="53" t="s">
        <v>2108</v>
      </c>
      <c r="L478" s="53" t="s">
        <v>15</v>
      </c>
      <c r="M478" s="53" t="s">
        <v>15</v>
      </c>
      <c r="N478" s="53" t="s">
        <v>15</v>
      </c>
      <c r="O478" s="53" t="s">
        <v>15</v>
      </c>
    </row>
    <row r="479" spans="1:15" x14ac:dyDescent="0.25">
      <c r="A479" s="52" t="s">
        <v>4725</v>
      </c>
      <c r="B479" s="54" t="str">
        <f t="shared" si="7"/>
        <v>IC,,FAIRCHILD,74LVCX4245,SO24W</v>
      </c>
      <c r="C479" s="53" t="s">
        <v>15</v>
      </c>
      <c r="D479" s="53" t="s">
        <v>15</v>
      </c>
      <c r="E479" s="53" t="s">
        <v>15</v>
      </c>
      <c r="F479" s="53" t="s">
        <v>15</v>
      </c>
      <c r="G479" s="53"/>
      <c r="H479" s="53" t="s">
        <v>764</v>
      </c>
      <c r="I479" s="53" t="s">
        <v>2109</v>
      </c>
      <c r="J479" s="53" t="s">
        <v>2110</v>
      </c>
      <c r="K479" s="53" t="s">
        <v>2111</v>
      </c>
      <c r="L479" s="53" t="s">
        <v>15</v>
      </c>
      <c r="M479" s="53" t="s">
        <v>15</v>
      </c>
      <c r="N479" s="53" t="s">
        <v>15</v>
      </c>
      <c r="O479" s="53" t="s">
        <v>15</v>
      </c>
    </row>
    <row r="480" spans="1:15" x14ac:dyDescent="0.25">
      <c r="A480" s="52" t="s">
        <v>4726</v>
      </c>
      <c r="B480" s="54" t="str">
        <f t="shared" si="7"/>
        <v>IC,,TI,LM741,DIP8</v>
      </c>
      <c r="C480" s="53" t="s">
        <v>15</v>
      </c>
      <c r="D480" s="53" t="s">
        <v>15</v>
      </c>
      <c r="E480" s="53" t="s">
        <v>15</v>
      </c>
      <c r="F480" s="53" t="s">
        <v>15</v>
      </c>
      <c r="G480" s="53"/>
      <c r="H480" s="53" t="s">
        <v>1145</v>
      </c>
      <c r="I480" s="53" t="s">
        <v>1814</v>
      </c>
      <c r="J480" s="53" t="s">
        <v>423</v>
      </c>
      <c r="K480" s="53" t="s">
        <v>2112</v>
      </c>
      <c r="L480" s="53" t="s">
        <v>15</v>
      </c>
      <c r="M480" s="53" t="s">
        <v>15</v>
      </c>
      <c r="N480" s="53" t="s">
        <v>15</v>
      </c>
      <c r="O480" s="53" t="s">
        <v>15</v>
      </c>
    </row>
    <row r="481" spans="1:15" x14ac:dyDescent="0.25">
      <c r="A481" s="52" t="s">
        <v>4727</v>
      </c>
      <c r="B481" s="54" t="str">
        <f t="shared" si="7"/>
        <v>IC,,HARRIS,CD74HC393,DIP14</v>
      </c>
      <c r="C481" s="53" t="s">
        <v>15</v>
      </c>
      <c r="D481" s="53" t="s">
        <v>15</v>
      </c>
      <c r="E481" s="53" t="s">
        <v>15</v>
      </c>
      <c r="F481" s="53" t="s">
        <v>15</v>
      </c>
      <c r="G481" s="53"/>
      <c r="H481" s="53" t="s">
        <v>1988</v>
      </c>
      <c r="I481" s="53" t="s">
        <v>2113</v>
      </c>
      <c r="J481" s="53" t="s">
        <v>428</v>
      </c>
      <c r="K481" s="53" t="s">
        <v>2114</v>
      </c>
      <c r="L481" s="53" t="s">
        <v>15</v>
      </c>
      <c r="M481" s="53" t="s">
        <v>15</v>
      </c>
      <c r="N481" s="53" t="s">
        <v>15</v>
      </c>
      <c r="O481" s="53" t="s">
        <v>15</v>
      </c>
    </row>
    <row r="482" spans="1:15" x14ac:dyDescent="0.25">
      <c r="A482" s="52" t="s">
        <v>4728</v>
      </c>
      <c r="B482" s="54" t="str">
        <f t="shared" si="7"/>
        <v>IC,,ALTERA,AP1C3T144C8,TQFP144</v>
      </c>
      <c r="C482" s="53" t="s">
        <v>15</v>
      </c>
      <c r="D482" s="53" t="s">
        <v>15</v>
      </c>
      <c r="E482" s="53" t="s">
        <v>15</v>
      </c>
      <c r="F482" s="53" t="s">
        <v>15</v>
      </c>
      <c r="G482" s="53"/>
      <c r="H482" s="53" t="s">
        <v>1567</v>
      </c>
      <c r="I482" s="53" t="s">
        <v>2115</v>
      </c>
      <c r="J482" s="53" t="s">
        <v>2116</v>
      </c>
      <c r="K482" s="53" t="s">
        <v>2117</v>
      </c>
      <c r="L482" s="53" t="s">
        <v>15</v>
      </c>
      <c r="M482" s="53" t="s">
        <v>15</v>
      </c>
      <c r="N482" s="53" t="s">
        <v>15</v>
      </c>
      <c r="O482" s="53" t="s">
        <v>15</v>
      </c>
    </row>
    <row r="483" spans="1:15" x14ac:dyDescent="0.25">
      <c r="A483" s="52" t="s">
        <v>4729</v>
      </c>
      <c r="B483" s="54" t="str">
        <f t="shared" si="7"/>
        <v>IC,,SST,29LE010,PLCC32</v>
      </c>
      <c r="C483" s="53" t="s">
        <v>15</v>
      </c>
      <c r="D483" s="53" t="s">
        <v>15</v>
      </c>
      <c r="E483" s="53" t="s">
        <v>15</v>
      </c>
      <c r="F483" s="53" t="s">
        <v>15</v>
      </c>
      <c r="G483" s="53"/>
      <c r="H483" s="53" t="s">
        <v>1512</v>
      </c>
      <c r="I483" s="53" t="s">
        <v>2118</v>
      </c>
      <c r="J483" s="53" t="s">
        <v>2119</v>
      </c>
      <c r="K483" s="53" t="s">
        <v>2120</v>
      </c>
      <c r="L483" s="53" t="s">
        <v>15</v>
      </c>
      <c r="M483" s="53" t="s">
        <v>15</v>
      </c>
      <c r="N483" s="53" t="s">
        <v>15</v>
      </c>
      <c r="O483" s="53" t="s">
        <v>15</v>
      </c>
    </row>
    <row r="484" spans="1:15" x14ac:dyDescent="0.25">
      <c r="A484" s="52" t="s">
        <v>4730</v>
      </c>
      <c r="B484" s="54" t="str">
        <f t="shared" si="7"/>
        <v>IC,,ALTERA,EPC2C35F484,BGA484</v>
      </c>
      <c r="C484" s="53" t="s">
        <v>15</v>
      </c>
      <c r="D484" s="53" t="s">
        <v>15</v>
      </c>
      <c r="E484" s="53" t="s">
        <v>15</v>
      </c>
      <c r="F484" s="53" t="s">
        <v>15</v>
      </c>
      <c r="G484" s="53"/>
      <c r="H484" s="53" t="s">
        <v>1567</v>
      </c>
      <c r="I484" s="53" t="s">
        <v>2121</v>
      </c>
      <c r="J484" s="53" t="s">
        <v>2122</v>
      </c>
      <c r="K484" s="53" t="s">
        <v>2123</v>
      </c>
      <c r="L484" s="53" t="s">
        <v>15</v>
      </c>
      <c r="M484" s="53" t="s">
        <v>15</v>
      </c>
      <c r="N484" s="53" t="s">
        <v>15</v>
      </c>
      <c r="O484" s="53" t="s">
        <v>15</v>
      </c>
    </row>
    <row r="485" spans="1:15" x14ac:dyDescent="0.25">
      <c r="A485" s="52" t="s">
        <v>4731</v>
      </c>
      <c r="B485" s="54" t="str">
        <f t="shared" si="7"/>
        <v>IC,,TI,NE5532,SO8W</v>
      </c>
      <c r="C485" s="53" t="s">
        <v>15</v>
      </c>
      <c r="D485" s="53" t="s">
        <v>15</v>
      </c>
      <c r="E485" s="53" t="s">
        <v>15</v>
      </c>
      <c r="F485" s="53" t="s">
        <v>15</v>
      </c>
      <c r="G485" s="53"/>
      <c r="H485" s="53" t="s">
        <v>1145</v>
      </c>
      <c r="I485" s="53" t="s">
        <v>2124</v>
      </c>
      <c r="J485" s="53" t="s">
        <v>2125</v>
      </c>
      <c r="K485" s="53" t="s">
        <v>2126</v>
      </c>
      <c r="L485" s="53" t="s">
        <v>15</v>
      </c>
      <c r="M485" s="53" t="s">
        <v>15</v>
      </c>
      <c r="N485" s="53" t="s">
        <v>15</v>
      </c>
      <c r="O485" s="53" t="s">
        <v>15</v>
      </c>
    </row>
    <row r="486" spans="1:15" x14ac:dyDescent="0.25">
      <c r="A486" s="52" t="s">
        <v>4732</v>
      </c>
      <c r="B486" s="54" t="str">
        <f t="shared" si="7"/>
        <v>IC,,LINEAR,LTC1150CN8,DIP8</v>
      </c>
      <c r="C486" s="53" t="s">
        <v>15</v>
      </c>
      <c r="D486" s="53" t="s">
        <v>15</v>
      </c>
      <c r="E486" s="53" t="s">
        <v>15</v>
      </c>
      <c r="F486" s="53" t="s">
        <v>15</v>
      </c>
      <c r="G486" s="53"/>
      <c r="H486" s="53" t="s">
        <v>1594</v>
      </c>
      <c r="I486" s="53" t="s">
        <v>2127</v>
      </c>
      <c r="J486" s="53" t="s">
        <v>423</v>
      </c>
      <c r="K486" s="53" t="s">
        <v>2128</v>
      </c>
      <c r="L486" s="53" t="s">
        <v>15</v>
      </c>
      <c r="M486" s="53" t="s">
        <v>15</v>
      </c>
      <c r="N486" s="53" t="s">
        <v>15</v>
      </c>
      <c r="O486" s="53" t="s">
        <v>15</v>
      </c>
    </row>
    <row r="487" spans="1:15" x14ac:dyDescent="0.25">
      <c r="A487" s="52" t="s">
        <v>4733</v>
      </c>
      <c r="B487" s="54" t="str">
        <f t="shared" si="7"/>
        <v>IC,,MICROCHIP,TC7650CPD,DIP14</v>
      </c>
      <c r="C487" s="53" t="s">
        <v>15</v>
      </c>
      <c r="D487" s="53" t="s">
        <v>15</v>
      </c>
      <c r="E487" s="53" t="s">
        <v>15</v>
      </c>
      <c r="F487" s="53" t="s">
        <v>15</v>
      </c>
      <c r="G487" s="53"/>
      <c r="H487" s="53" t="s">
        <v>939</v>
      </c>
      <c r="I487" s="53" t="s">
        <v>2129</v>
      </c>
      <c r="J487" s="53" t="s">
        <v>428</v>
      </c>
      <c r="K487" s="53" t="s">
        <v>2130</v>
      </c>
      <c r="L487" s="53" t="s">
        <v>15</v>
      </c>
      <c r="M487" s="53" t="s">
        <v>15</v>
      </c>
      <c r="N487" s="53" t="s">
        <v>15</v>
      </c>
      <c r="O487" s="53" t="s">
        <v>15</v>
      </c>
    </row>
    <row r="488" spans="1:15" x14ac:dyDescent="0.25">
      <c r="A488" s="52" t="s">
        <v>4734</v>
      </c>
      <c r="B488" s="54" t="str">
        <f t="shared" si="7"/>
        <v>IC,,NATIONAL,LM4562,SO8</v>
      </c>
      <c r="C488" s="53" t="s">
        <v>15</v>
      </c>
      <c r="D488" s="53" t="s">
        <v>15</v>
      </c>
      <c r="E488" s="53" t="s">
        <v>15</v>
      </c>
      <c r="F488" s="53" t="s">
        <v>15</v>
      </c>
      <c r="G488" s="53"/>
      <c r="H488" s="53" t="s">
        <v>1556</v>
      </c>
      <c r="I488" s="53" t="s">
        <v>2131</v>
      </c>
      <c r="J488" s="53" t="s">
        <v>1147</v>
      </c>
      <c r="K488" s="53" t="s">
        <v>2132</v>
      </c>
      <c r="L488" s="53" t="s">
        <v>15</v>
      </c>
      <c r="M488" s="53" t="s">
        <v>15</v>
      </c>
      <c r="N488" s="53" t="s">
        <v>15</v>
      </c>
      <c r="O488" s="53" t="s">
        <v>15</v>
      </c>
    </row>
    <row r="489" spans="1:15" x14ac:dyDescent="0.25">
      <c r="A489" s="52" t="s">
        <v>4735</v>
      </c>
      <c r="B489" s="54" t="str">
        <f t="shared" si="7"/>
        <v>IC,,TI,CD74HC74,DIP14</v>
      </c>
      <c r="C489" s="53" t="s">
        <v>15</v>
      </c>
      <c r="D489" s="53" t="s">
        <v>15</v>
      </c>
      <c r="E489" s="53" t="s">
        <v>15</v>
      </c>
      <c r="F489" s="53" t="s">
        <v>15</v>
      </c>
      <c r="G489" s="53"/>
      <c r="H489" s="53" t="s">
        <v>1145</v>
      </c>
      <c r="I489" s="53" t="s">
        <v>2133</v>
      </c>
      <c r="J489" s="53" t="s">
        <v>428</v>
      </c>
      <c r="K489" s="53" t="s">
        <v>2134</v>
      </c>
      <c r="L489" s="53" t="s">
        <v>15</v>
      </c>
      <c r="M489" s="53" t="s">
        <v>15</v>
      </c>
      <c r="N489" s="53" t="s">
        <v>15</v>
      </c>
      <c r="O489" s="53" t="s">
        <v>15</v>
      </c>
    </row>
    <row r="490" spans="1:15" x14ac:dyDescent="0.25">
      <c r="A490" s="52" t="s">
        <v>4736</v>
      </c>
      <c r="B490" s="54" t="str">
        <f t="shared" si="7"/>
        <v>IC,,TI,SN74HC08,DIP14</v>
      </c>
      <c r="C490" s="53" t="s">
        <v>15</v>
      </c>
      <c r="D490" s="53" t="s">
        <v>15</v>
      </c>
      <c r="E490" s="53" t="s">
        <v>15</v>
      </c>
      <c r="F490" s="53" t="s">
        <v>15</v>
      </c>
      <c r="G490" s="53"/>
      <c r="H490" s="53" t="s">
        <v>1145</v>
      </c>
      <c r="I490" s="53" t="s">
        <v>2135</v>
      </c>
      <c r="J490" s="53" t="s">
        <v>428</v>
      </c>
      <c r="K490" s="53" t="s">
        <v>2136</v>
      </c>
      <c r="L490" s="53" t="s">
        <v>15</v>
      </c>
      <c r="M490" s="53" t="s">
        <v>15</v>
      </c>
      <c r="N490" s="53" t="s">
        <v>15</v>
      </c>
      <c r="O490" s="53" t="s">
        <v>15</v>
      </c>
    </row>
    <row r="491" spans="1:15" x14ac:dyDescent="0.25">
      <c r="A491" s="52" t="s">
        <v>4737</v>
      </c>
      <c r="B491" s="54" t="str">
        <f t="shared" si="7"/>
        <v>IC,,NXP,PCA9555,TSSOP</v>
      </c>
      <c r="C491" s="53" t="s">
        <v>15</v>
      </c>
      <c r="D491" s="53" t="s">
        <v>15</v>
      </c>
      <c r="E491" s="53" t="s">
        <v>15</v>
      </c>
      <c r="F491" s="53" t="s">
        <v>15</v>
      </c>
      <c r="G491" s="53"/>
      <c r="H491" s="53" t="s">
        <v>699</v>
      </c>
      <c r="I491" s="53" t="s">
        <v>2137</v>
      </c>
      <c r="J491" s="53" t="s">
        <v>1830</v>
      </c>
      <c r="K491" s="53" t="s">
        <v>2138</v>
      </c>
      <c r="L491" s="53" t="s">
        <v>15</v>
      </c>
      <c r="M491" s="53" t="s">
        <v>15</v>
      </c>
      <c r="N491" s="53" t="s">
        <v>15</v>
      </c>
      <c r="O491" s="53" t="s">
        <v>15</v>
      </c>
    </row>
    <row r="492" spans="1:15" x14ac:dyDescent="0.25">
      <c r="A492" s="52" t="s">
        <v>4738</v>
      </c>
      <c r="B492" s="54" t="str">
        <f t="shared" si="7"/>
        <v>IC,,TI,LM73,SOT23-6</v>
      </c>
      <c r="C492" s="53" t="s">
        <v>15</v>
      </c>
      <c r="D492" s="53" t="s">
        <v>15</v>
      </c>
      <c r="E492" s="53" t="s">
        <v>15</v>
      </c>
      <c r="F492" s="53" t="s">
        <v>15</v>
      </c>
      <c r="G492" s="53"/>
      <c r="H492" s="53" t="s">
        <v>1145</v>
      </c>
      <c r="I492" s="53" t="s">
        <v>2139</v>
      </c>
      <c r="J492" s="53" t="s">
        <v>992</v>
      </c>
      <c r="K492" s="53" t="s">
        <v>2140</v>
      </c>
      <c r="L492" s="53" t="s">
        <v>15</v>
      </c>
      <c r="M492" s="53" t="s">
        <v>15</v>
      </c>
      <c r="N492" s="53" t="s">
        <v>15</v>
      </c>
      <c r="O492" s="53" t="s">
        <v>15</v>
      </c>
    </row>
    <row r="493" spans="1:15" x14ac:dyDescent="0.25">
      <c r="A493" s="52" t="s">
        <v>4739</v>
      </c>
      <c r="B493" s="54" t="str">
        <f t="shared" si="7"/>
        <v>IC,,HITACHO,HM62256,SO28W</v>
      </c>
      <c r="C493" s="53" t="s">
        <v>15</v>
      </c>
      <c r="D493" s="53" t="s">
        <v>15</v>
      </c>
      <c r="E493" s="53" t="s">
        <v>15</v>
      </c>
      <c r="F493" s="53" t="s">
        <v>15</v>
      </c>
      <c r="G493" s="53"/>
      <c r="H493" s="53" t="s">
        <v>2141</v>
      </c>
      <c r="I493" s="53" t="s">
        <v>1877</v>
      </c>
      <c r="J493" s="53" t="s">
        <v>2142</v>
      </c>
      <c r="K493" s="53" t="s">
        <v>2143</v>
      </c>
      <c r="L493" s="53" t="s">
        <v>15</v>
      </c>
      <c r="M493" s="53" t="s">
        <v>15</v>
      </c>
      <c r="N493" s="53" t="s">
        <v>15</v>
      </c>
      <c r="O493" s="53" t="s">
        <v>15</v>
      </c>
    </row>
    <row r="494" spans="1:15" x14ac:dyDescent="0.25">
      <c r="A494" s="52" t="s">
        <v>4740</v>
      </c>
      <c r="B494" s="54" t="str">
        <f t="shared" si="7"/>
        <v>IC,,NATIONAL,LM1496,DIP14</v>
      </c>
      <c r="C494" s="53" t="s">
        <v>15</v>
      </c>
      <c r="D494" s="53" t="s">
        <v>15</v>
      </c>
      <c r="E494" s="53" t="s">
        <v>15</v>
      </c>
      <c r="F494" s="53" t="s">
        <v>15</v>
      </c>
      <c r="G494" s="53"/>
      <c r="H494" s="53" t="s">
        <v>1556</v>
      </c>
      <c r="I494" s="53" t="s">
        <v>2144</v>
      </c>
      <c r="J494" s="53" t="s">
        <v>428</v>
      </c>
      <c r="K494" s="53" t="s">
        <v>2145</v>
      </c>
      <c r="L494" s="53" t="s">
        <v>15</v>
      </c>
      <c r="M494" s="53" t="s">
        <v>15</v>
      </c>
      <c r="N494" s="53" t="s">
        <v>15</v>
      </c>
      <c r="O494" s="53" t="s">
        <v>15</v>
      </c>
    </row>
    <row r="495" spans="1:15" x14ac:dyDescent="0.25">
      <c r="A495" s="52" t="s">
        <v>4741</v>
      </c>
      <c r="B495" s="54" t="str">
        <f t="shared" si="7"/>
        <v>IC,,TI,SN74HC574,DIP20</v>
      </c>
      <c r="C495" s="53" t="s">
        <v>15</v>
      </c>
      <c r="D495" s="53" t="s">
        <v>15</v>
      </c>
      <c r="E495" s="53" t="s">
        <v>15</v>
      </c>
      <c r="F495" s="53" t="s">
        <v>15</v>
      </c>
      <c r="G495" s="53"/>
      <c r="H495" s="53" t="s">
        <v>1145</v>
      </c>
      <c r="I495" s="53" t="s">
        <v>2146</v>
      </c>
      <c r="J495" s="53" t="s">
        <v>440</v>
      </c>
      <c r="K495" s="53" t="s">
        <v>2147</v>
      </c>
      <c r="L495" s="53" t="s">
        <v>15</v>
      </c>
      <c r="M495" s="53" t="s">
        <v>15</v>
      </c>
      <c r="N495" s="53" t="s">
        <v>15</v>
      </c>
      <c r="O495" s="53" t="s">
        <v>15</v>
      </c>
    </row>
    <row r="496" spans="1:15" x14ac:dyDescent="0.25">
      <c r="A496" s="52" t="s">
        <v>4742</v>
      </c>
      <c r="B496" s="54" t="str">
        <f t="shared" si="7"/>
        <v>IC,,TI,SN74HC193,DIP16</v>
      </c>
      <c r="C496" s="53" t="s">
        <v>15</v>
      </c>
      <c r="D496" s="53" t="s">
        <v>15</v>
      </c>
      <c r="E496" s="53" t="s">
        <v>15</v>
      </c>
      <c r="F496" s="53" t="s">
        <v>15</v>
      </c>
      <c r="G496" s="53"/>
      <c r="H496" s="53" t="s">
        <v>1145</v>
      </c>
      <c r="I496" s="53" t="s">
        <v>2148</v>
      </c>
      <c r="J496" s="53" t="s">
        <v>432</v>
      </c>
      <c r="K496" s="53" t="s">
        <v>2149</v>
      </c>
      <c r="L496" s="53" t="s">
        <v>15</v>
      </c>
      <c r="M496" s="53" t="s">
        <v>15</v>
      </c>
      <c r="N496" s="53" t="s">
        <v>15</v>
      </c>
      <c r="O496" s="53" t="s">
        <v>15</v>
      </c>
    </row>
    <row r="497" spans="1:15" x14ac:dyDescent="0.25">
      <c r="A497" s="52" t="s">
        <v>4743</v>
      </c>
      <c r="B497" s="54" t="str">
        <f t="shared" si="7"/>
        <v>IC,,TI,CD4001,DIP14</v>
      </c>
      <c r="C497" s="53" t="s">
        <v>15</v>
      </c>
      <c r="D497" s="53" t="s">
        <v>15</v>
      </c>
      <c r="E497" s="53" t="s">
        <v>15</v>
      </c>
      <c r="F497" s="53" t="s">
        <v>15</v>
      </c>
      <c r="G497" s="53"/>
      <c r="H497" s="53" t="s">
        <v>1145</v>
      </c>
      <c r="I497" s="53" t="s">
        <v>2150</v>
      </c>
      <c r="J497" s="53" t="s">
        <v>428</v>
      </c>
      <c r="K497" s="53" t="s">
        <v>2151</v>
      </c>
      <c r="L497" s="53" t="s">
        <v>15</v>
      </c>
      <c r="M497" s="53" t="s">
        <v>15</v>
      </c>
      <c r="N497" s="53" t="s">
        <v>15</v>
      </c>
      <c r="O497" s="53" t="s">
        <v>15</v>
      </c>
    </row>
    <row r="498" spans="1:15" x14ac:dyDescent="0.25">
      <c r="A498" s="52" t="s">
        <v>4744</v>
      </c>
      <c r="B498" s="54" t="str">
        <f t="shared" si="7"/>
        <v>IC,,LINEAR,LTC1050CN,DIP14</v>
      </c>
      <c r="C498" s="53" t="s">
        <v>15</v>
      </c>
      <c r="D498" s="53" t="s">
        <v>15</v>
      </c>
      <c r="E498" s="53" t="s">
        <v>15</v>
      </c>
      <c r="F498" s="53" t="s">
        <v>15</v>
      </c>
      <c r="G498" s="53"/>
      <c r="H498" s="53" t="s">
        <v>1594</v>
      </c>
      <c r="I498" s="53" t="s">
        <v>2152</v>
      </c>
      <c r="J498" s="53" t="s">
        <v>428</v>
      </c>
      <c r="K498" s="53" t="s">
        <v>2153</v>
      </c>
      <c r="L498" s="53" t="s">
        <v>15</v>
      </c>
      <c r="M498" s="53" t="s">
        <v>15</v>
      </c>
      <c r="N498" s="53" t="s">
        <v>15</v>
      </c>
      <c r="O498" s="53" t="s">
        <v>15</v>
      </c>
    </row>
    <row r="499" spans="1:15" x14ac:dyDescent="0.25">
      <c r="A499" s="52" t="s">
        <v>4745</v>
      </c>
      <c r="B499" s="54" t="str">
        <f t="shared" si="7"/>
        <v>IC,,TI,SN74HC11,DIP14</v>
      </c>
      <c r="C499" s="53" t="s">
        <v>15</v>
      </c>
      <c r="D499" s="53" t="s">
        <v>15</v>
      </c>
      <c r="E499" s="53" t="s">
        <v>15</v>
      </c>
      <c r="F499" s="53" t="s">
        <v>15</v>
      </c>
      <c r="G499" s="53"/>
      <c r="H499" s="53" t="s">
        <v>1145</v>
      </c>
      <c r="I499" s="53" t="s">
        <v>2154</v>
      </c>
      <c r="J499" s="53" t="s">
        <v>428</v>
      </c>
      <c r="K499" s="53" t="s">
        <v>2155</v>
      </c>
      <c r="L499" s="53" t="s">
        <v>15</v>
      </c>
      <c r="M499" s="53" t="s">
        <v>15</v>
      </c>
      <c r="N499" s="53" t="s">
        <v>15</v>
      </c>
      <c r="O499" s="53" t="s">
        <v>15</v>
      </c>
    </row>
    <row r="500" spans="1:15" x14ac:dyDescent="0.25">
      <c r="A500" s="52" t="s">
        <v>4746</v>
      </c>
      <c r="B500" s="54" t="str">
        <f t="shared" si="7"/>
        <v>IC,,HARRIS,CD4012,DIP14</v>
      </c>
      <c r="C500" s="53" t="s">
        <v>15</v>
      </c>
      <c r="D500" s="53" t="s">
        <v>15</v>
      </c>
      <c r="E500" s="53" t="s">
        <v>15</v>
      </c>
      <c r="F500" s="53" t="s">
        <v>15</v>
      </c>
      <c r="G500" s="53"/>
      <c r="H500" s="53" t="s">
        <v>1988</v>
      </c>
      <c r="I500" s="53" t="s">
        <v>2156</v>
      </c>
      <c r="J500" s="53" t="s">
        <v>428</v>
      </c>
      <c r="K500" s="53" t="s">
        <v>2157</v>
      </c>
      <c r="L500" s="53" t="s">
        <v>15</v>
      </c>
      <c r="M500" s="53" t="s">
        <v>15</v>
      </c>
      <c r="N500" s="53" t="s">
        <v>15</v>
      </c>
      <c r="O500" s="53" t="s">
        <v>15</v>
      </c>
    </row>
    <row r="501" spans="1:15" x14ac:dyDescent="0.25">
      <c r="A501" s="52" t="s">
        <v>4747</v>
      </c>
      <c r="B501" s="54" t="str">
        <f t="shared" si="7"/>
        <v>IC,,LINEAR,LT1366,SO8</v>
      </c>
      <c r="C501" s="53" t="s">
        <v>15</v>
      </c>
      <c r="D501" s="53" t="s">
        <v>15</v>
      </c>
      <c r="E501" s="53" t="s">
        <v>15</v>
      </c>
      <c r="F501" s="53" t="s">
        <v>15</v>
      </c>
      <c r="G501" s="53"/>
      <c r="H501" s="53" t="s">
        <v>1594</v>
      </c>
      <c r="I501" s="53" t="s">
        <v>2158</v>
      </c>
      <c r="J501" s="53" t="s">
        <v>1147</v>
      </c>
      <c r="K501" s="53" t="s">
        <v>2159</v>
      </c>
      <c r="L501" s="53" t="s">
        <v>15</v>
      </c>
      <c r="M501" s="53" t="s">
        <v>15</v>
      </c>
      <c r="N501" s="53" t="s">
        <v>15</v>
      </c>
      <c r="O501" s="53" t="s">
        <v>15</v>
      </c>
    </row>
    <row r="502" spans="1:15" x14ac:dyDescent="0.25">
      <c r="A502" s="52" t="s">
        <v>4748</v>
      </c>
      <c r="B502" s="54" t="str">
        <f t="shared" si="7"/>
        <v>IC,,TI,SN74HC14,DIP14</v>
      </c>
      <c r="C502" s="53" t="s">
        <v>15</v>
      </c>
      <c r="D502" s="53" t="s">
        <v>15</v>
      </c>
      <c r="E502" s="53" t="s">
        <v>15</v>
      </c>
      <c r="F502" s="53" t="s">
        <v>15</v>
      </c>
      <c r="G502" s="53"/>
      <c r="H502" s="53" t="s">
        <v>1145</v>
      </c>
      <c r="I502" s="53" t="s">
        <v>2160</v>
      </c>
      <c r="J502" s="53" t="s">
        <v>428</v>
      </c>
      <c r="K502" s="53" t="s">
        <v>2161</v>
      </c>
      <c r="L502" s="53" t="s">
        <v>15</v>
      </c>
      <c r="M502" s="53" t="s">
        <v>15</v>
      </c>
      <c r="N502" s="53" t="s">
        <v>15</v>
      </c>
      <c r="O502" s="53" t="s">
        <v>15</v>
      </c>
    </row>
    <row r="503" spans="1:15" x14ac:dyDescent="0.25">
      <c r="A503" s="52" t="s">
        <v>4749</v>
      </c>
      <c r="B503" s="54" t="str">
        <f t="shared" si="7"/>
        <v>IC,,LINEAR,LT1004CZ-1.2,TO92</v>
      </c>
      <c r="C503" s="53" t="s">
        <v>15</v>
      </c>
      <c r="D503" s="53" t="s">
        <v>15</v>
      </c>
      <c r="E503" s="53" t="s">
        <v>15</v>
      </c>
      <c r="F503" s="53" t="s">
        <v>15</v>
      </c>
      <c r="G503" s="53"/>
      <c r="H503" s="53" t="s">
        <v>1594</v>
      </c>
      <c r="I503" s="53" t="s">
        <v>2162</v>
      </c>
      <c r="J503" s="53" t="s">
        <v>1540</v>
      </c>
      <c r="K503" s="53" t="s">
        <v>2163</v>
      </c>
      <c r="L503" s="53" t="s">
        <v>15</v>
      </c>
      <c r="M503" s="53" t="s">
        <v>15</v>
      </c>
      <c r="N503" s="53" t="s">
        <v>15</v>
      </c>
      <c r="O503" s="53" t="s">
        <v>15</v>
      </c>
    </row>
    <row r="504" spans="1:15" x14ac:dyDescent="0.25">
      <c r="A504" s="52" t="s">
        <v>4750</v>
      </c>
      <c r="B504" s="54" t="str">
        <f t="shared" si="7"/>
        <v>IC,,MICRON,MT5C1008,SOJ</v>
      </c>
      <c r="C504" s="53" t="s">
        <v>15</v>
      </c>
      <c r="D504" s="53" t="s">
        <v>15</v>
      </c>
      <c r="E504" s="53" t="s">
        <v>15</v>
      </c>
      <c r="F504" s="53" t="s">
        <v>15</v>
      </c>
      <c r="G504" s="53"/>
      <c r="H504" s="53" t="s">
        <v>2164</v>
      </c>
      <c r="I504" s="53" t="s">
        <v>2165</v>
      </c>
      <c r="J504" s="53" t="s">
        <v>2166</v>
      </c>
      <c r="K504" s="53" t="s">
        <v>2167</v>
      </c>
      <c r="L504" s="53" t="s">
        <v>15</v>
      </c>
      <c r="M504" s="53" t="s">
        <v>15</v>
      </c>
      <c r="N504" s="53" t="s">
        <v>15</v>
      </c>
      <c r="O504" s="53" t="s">
        <v>15</v>
      </c>
    </row>
    <row r="505" spans="1:15" x14ac:dyDescent="0.25">
      <c r="A505" s="52" t="s">
        <v>4751</v>
      </c>
      <c r="B505" s="54" t="str">
        <f t="shared" si="7"/>
        <v>IC,,TI,SN74HC02,DIP14</v>
      </c>
      <c r="C505" s="53" t="s">
        <v>15</v>
      </c>
      <c r="D505" s="53" t="s">
        <v>15</v>
      </c>
      <c r="E505" s="53" t="s">
        <v>15</v>
      </c>
      <c r="F505" s="53" t="s">
        <v>15</v>
      </c>
      <c r="G505" s="53"/>
      <c r="H505" s="53" t="s">
        <v>1145</v>
      </c>
      <c r="I505" s="53" t="s">
        <v>2168</v>
      </c>
      <c r="J505" s="53" t="s">
        <v>428</v>
      </c>
      <c r="K505" s="53" t="s">
        <v>2169</v>
      </c>
      <c r="L505" s="53" t="s">
        <v>15</v>
      </c>
      <c r="M505" s="53" t="s">
        <v>15</v>
      </c>
      <c r="N505" s="53" t="s">
        <v>15</v>
      </c>
      <c r="O505" s="53" t="s">
        <v>15</v>
      </c>
    </row>
    <row r="506" spans="1:15" x14ac:dyDescent="0.25">
      <c r="A506" s="52" t="s">
        <v>4752</v>
      </c>
      <c r="B506" s="54" t="str">
        <f t="shared" si="7"/>
        <v>IC,,TI,SN74LS20,DIP14</v>
      </c>
      <c r="C506" s="53" t="s">
        <v>15</v>
      </c>
      <c r="D506" s="53" t="s">
        <v>15</v>
      </c>
      <c r="E506" s="53" t="s">
        <v>15</v>
      </c>
      <c r="F506" s="53" t="s">
        <v>15</v>
      </c>
      <c r="G506" s="53"/>
      <c r="H506" s="53" t="s">
        <v>1145</v>
      </c>
      <c r="I506" s="53" t="s">
        <v>2170</v>
      </c>
      <c r="J506" s="53" t="s">
        <v>428</v>
      </c>
      <c r="K506" s="53" t="s">
        <v>2171</v>
      </c>
      <c r="L506" s="53" t="s">
        <v>15</v>
      </c>
      <c r="M506" s="53" t="s">
        <v>15</v>
      </c>
      <c r="N506" s="53" t="s">
        <v>15</v>
      </c>
      <c r="O506" s="53" t="s">
        <v>15</v>
      </c>
    </row>
    <row r="507" spans="1:15" x14ac:dyDescent="0.25">
      <c r="A507" s="52" t="s">
        <v>4753</v>
      </c>
      <c r="B507" s="54" t="str">
        <f t="shared" si="7"/>
        <v>IC,,TI,SN74HC32,DIP14</v>
      </c>
      <c r="C507" s="53" t="s">
        <v>15</v>
      </c>
      <c r="D507" s="53" t="s">
        <v>15</v>
      </c>
      <c r="E507" s="53" t="s">
        <v>15</v>
      </c>
      <c r="F507" s="53" t="s">
        <v>15</v>
      </c>
      <c r="G507" s="53"/>
      <c r="H507" s="53" t="s">
        <v>1145</v>
      </c>
      <c r="I507" s="53" t="s">
        <v>2172</v>
      </c>
      <c r="J507" s="53" t="s">
        <v>428</v>
      </c>
      <c r="K507" s="53" t="s">
        <v>2173</v>
      </c>
      <c r="L507" s="53" t="s">
        <v>15</v>
      </c>
      <c r="M507" s="53" t="s">
        <v>15</v>
      </c>
      <c r="N507" s="53" t="s">
        <v>15</v>
      </c>
      <c r="O507" s="53" t="s">
        <v>15</v>
      </c>
    </row>
    <row r="508" spans="1:15" x14ac:dyDescent="0.25">
      <c r="A508" s="52" t="s">
        <v>4754</v>
      </c>
      <c r="B508" s="54" t="str">
        <f t="shared" si="7"/>
        <v>IC,,TOSHIBA,SN74HC139,DIP16</v>
      </c>
      <c r="C508" s="53" t="s">
        <v>15</v>
      </c>
      <c r="D508" s="53" t="s">
        <v>15</v>
      </c>
      <c r="E508" s="53" t="s">
        <v>15</v>
      </c>
      <c r="F508" s="53" t="s">
        <v>15</v>
      </c>
      <c r="G508" s="53"/>
      <c r="H508" s="53" t="s">
        <v>1021</v>
      </c>
      <c r="I508" s="53" t="s">
        <v>2174</v>
      </c>
      <c r="J508" s="53" t="s">
        <v>432</v>
      </c>
      <c r="K508" s="53" t="s">
        <v>2175</v>
      </c>
      <c r="L508" s="53" t="s">
        <v>15</v>
      </c>
      <c r="M508" s="53" t="s">
        <v>15</v>
      </c>
      <c r="N508" s="53" t="s">
        <v>15</v>
      </c>
      <c r="O508" s="53" t="s">
        <v>15</v>
      </c>
    </row>
    <row r="509" spans="1:15" x14ac:dyDescent="0.25">
      <c r="A509" s="52" t="s">
        <v>4755</v>
      </c>
      <c r="B509" s="54" t="str">
        <f t="shared" si="7"/>
        <v>IC,,TI,SN74HC138,DIP16</v>
      </c>
      <c r="C509" s="53" t="s">
        <v>15</v>
      </c>
      <c r="D509" s="53" t="s">
        <v>15</v>
      </c>
      <c r="E509" s="53" t="s">
        <v>15</v>
      </c>
      <c r="F509" s="53" t="s">
        <v>15</v>
      </c>
      <c r="G509" s="53"/>
      <c r="H509" s="53" t="s">
        <v>1145</v>
      </c>
      <c r="I509" s="53" t="s">
        <v>2176</v>
      </c>
      <c r="J509" s="53" t="s">
        <v>432</v>
      </c>
      <c r="K509" s="53" t="s">
        <v>2177</v>
      </c>
      <c r="L509" s="53" t="s">
        <v>15</v>
      </c>
      <c r="M509" s="53" t="s">
        <v>15</v>
      </c>
      <c r="N509" s="53" t="s">
        <v>15</v>
      </c>
      <c r="O509" s="53" t="s">
        <v>15</v>
      </c>
    </row>
    <row r="510" spans="1:15" x14ac:dyDescent="0.25">
      <c r="A510" s="52" t="s">
        <v>4756</v>
      </c>
      <c r="B510" s="54" t="str">
        <f t="shared" si="7"/>
        <v>IC,,TI,CD4052,DIP16</v>
      </c>
      <c r="C510" s="53" t="s">
        <v>15</v>
      </c>
      <c r="D510" s="53" t="s">
        <v>15</v>
      </c>
      <c r="E510" s="53" t="s">
        <v>15</v>
      </c>
      <c r="F510" s="53" t="s">
        <v>15</v>
      </c>
      <c r="G510" s="53"/>
      <c r="H510" s="53" t="s">
        <v>1145</v>
      </c>
      <c r="I510" s="53" t="s">
        <v>2178</v>
      </c>
      <c r="J510" s="53" t="s">
        <v>432</v>
      </c>
      <c r="K510" s="53" t="s">
        <v>2179</v>
      </c>
      <c r="L510" s="53" t="s">
        <v>15</v>
      </c>
      <c r="M510" s="53" t="s">
        <v>15</v>
      </c>
      <c r="N510" s="53" t="s">
        <v>15</v>
      </c>
      <c r="O510" s="53" t="s">
        <v>15</v>
      </c>
    </row>
    <row r="511" spans="1:15" x14ac:dyDescent="0.25">
      <c r="A511" s="52" t="s">
        <v>4757</v>
      </c>
      <c r="B511" s="54" t="str">
        <f t="shared" si="7"/>
        <v>IC,,ST,M74HC573,DIP20</v>
      </c>
      <c r="C511" s="53" t="s">
        <v>15</v>
      </c>
      <c r="D511" s="53" t="s">
        <v>15</v>
      </c>
      <c r="E511" s="53" t="s">
        <v>15</v>
      </c>
      <c r="F511" s="53" t="s">
        <v>15</v>
      </c>
      <c r="G511" s="53"/>
      <c r="H511" s="53" t="s">
        <v>807</v>
      </c>
      <c r="I511" s="53" t="s">
        <v>2180</v>
      </c>
      <c r="J511" s="53" t="s">
        <v>440</v>
      </c>
      <c r="K511" s="53" t="s">
        <v>2181</v>
      </c>
      <c r="L511" s="53" t="s">
        <v>15</v>
      </c>
      <c r="M511" s="53" t="s">
        <v>15</v>
      </c>
      <c r="N511" s="53" t="s">
        <v>15</v>
      </c>
      <c r="O511" s="53" t="s">
        <v>15</v>
      </c>
    </row>
    <row r="512" spans="1:15" x14ac:dyDescent="0.25">
      <c r="A512" s="52" t="s">
        <v>4758</v>
      </c>
      <c r="B512" s="54" t="str">
        <f t="shared" si="7"/>
        <v>IC,,NATIONAL,LM358,SO8</v>
      </c>
      <c r="C512" s="53" t="s">
        <v>15</v>
      </c>
      <c r="D512" s="53" t="s">
        <v>15</v>
      </c>
      <c r="E512" s="53" t="s">
        <v>15</v>
      </c>
      <c r="F512" s="53" t="s">
        <v>15</v>
      </c>
      <c r="G512" s="53"/>
      <c r="H512" s="53" t="s">
        <v>1556</v>
      </c>
      <c r="I512" s="53" t="s">
        <v>1813</v>
      </c>
      <c r="J512" s="53" t="s">
        <v>1147</v>
      </c>
      <c r="K512" s="53" t="s">
        <v>2182</v>
      </c>
      <c r="L512" s="53" t="s">
        <v>15</v>
      </c>
      <c r="M512" s="53" t="s">
        <v>15</v>
      </c>
      <c r="N512" s="53" t="s">
        <v>15</v>
      </c>
      <c r="O512" s="53" t="s">
        <v>15</v>
      </c>
    </row>
    <row r="513" spans="1:15" x14ac:dyDescent="0.25">
      <c r="A513" s="52" t="s">
        <v>4759</v>
      </c>
      <c r="B513" s="54" t="str">
        <f t="shared" si="7"/>
        <v>IC,,MAXIM,MAX1771EPA,DIP8</v>
      </c>
      <c r="C513" s="53" t="s">
        <v>15</v>
      </c>
      <c r="D513" s="53" t="s">
        <v>15</v>
      </c>
      <c r="E513" s="53" t="s">
        <v>15</v>
      </c>
      <c r="F513" s="53" t="s">
        <v>15</v>
      </c>
      <c r="G513" s="53"/>
      <c r="H513" s="53" t="s">
        <v>1229</v>
      </c>
      <c r="I513" s="53" t="s">
        <v>2183</v>
      </c>
      <c r="J513" s="53" t="s">
        <v>423</v>
      </c>
      <c r="K513" s="53" t="s">
        <v>2184</v>
      </c>
      <c r="L513" s="53" t="s">
        <v>15</v>
      </c>
      <c r="M513" s="53" t="s">
        <v>15</v>
      </c>
      <c r="N513" s="53" t="s">
        <v>15</v>
      </c>
      <c r="O513" s="53" t="s">
        <v>15</v>
      </c>
    </row>
    <row r="514" spans="1:15" x14ac:dyDescent="0.25">
      <c r="A514" s="52" t="s">
        <v>4760</v>
      </c>
      <c r="B514" s="54" t="str">
        <f t="shared" si="7"/>
        <v>IC,,SAMSUNG,KM48C2100,SOJ</v>
      </c>
      <c r="C514" s="53" t="s">
        <v>15</v>
      </c>
      <c r="D514" s="53" t="s">
        <v>15</v>
      </c>
      <c r="E514" s="53" t="s">
        <v>15</v>
      </c>
      <c r="F514" s="53" t="s">
        <v>15</v>
      </c>
      <c r="G514" s="53"/>
      <c r="H514" s="53" t="s">
        <v>1515</v>
      </c>
      <c r="I514" s="53" t="s">
        <v>2185</v>
      </c>
      <c r="J514" s="53" t="s">
        <v>2166</v>
      </c>
      <c r="K514" s="53" t="s">
        <v>2186</v>
      </c>
      <c r="L514" s="53" t="s">
        <v>15</v>
      </c>
      <c r="M514" s="53" t="s">
        <v>15</v>
      </c>
      <c r="N514" s="53" t="s">
        <v>15</v>
      </c>
      <c r="O514" s="53" t="s">
        <v>15</v>
      </c>
    </row>
    <row r="515" spans="1:15" x14ac:dyDescent="0.25">
      <c r="A515" s="52" t="s">
        <v>4761</v>
      </c>
      <c r="B515" s="54" t="str">
        <f t="shared" ref="B515:B578" si="8">_xlfn.CONCAT("IC,",G515,",",H515,",",I515,",",J515)</f>
        <v>IC,,ATMEL,ATMEGA2560,</v>
      </c>
      <c r="C515" s="53" t="s">
        <v>15</v>
      </c>
      <c r="D515" s="53" t="s">
        <v>15</v>
      </c>
      <c r="E515" s="53" t="s">
        <v>15</v>
      </c>
      <c r="F515" s="53" t="s">
        <v>15</v>
      </c>
      <c r="G515" s="53"/>
      <c r="H515" s="53" t="s">
        <v>1236</v>
      </c>
      <c r="I515" s="53" t="s">
        <v>2187</v>
      </c>
      <c r="J515" s="53" t="s">
        <v>15</v>
      </c>
      <c r="K515" s="53" t="s">
        <v>2188</v>
      </c>
      <c r="L515" s="53" t="s">
        <v>15</v>
      </c>
      <c r="M515" s="53" t="s">
        <v>15</v>
      </c>
      <c r="N515" s="53" t="s">
        <v>15</v>
      </c>
      <c r="O515" s="53" t="s">
        <v>15</v>
      </c>
    </row>
    <row r="516" spans="1:15" x14ac:dyDescent="0.25">
      <c r="A516" s="52" t="s">
        <v>4762</v>
      </c>
      <c r="B516" s="54" t="str">
        <f t="shared" si="8"/>
        <v>IC,,AMD,AM27C2048,DIP40UV</v>
      </c>
      <c r="C516" s="53" t="s">
        <v>15</v>
      </c>
      <c r="D516" s="53" t="s">
        <v>15</v>
      </c>
      <c r="E516" s="53" t="s">
        <v>15</v>
      </c>
      <c r="F516" s="53" t="s">
        <v>15</v>
      </c>
      <c r="G516" s="53"/>
      <c r="H516" s="53" t="s">
        <v>4979</v>
      </c>
      <c r="I516" s="53" t="s">
        <v>2189</v>
      </c>
      <c r="J516" s="53" t="s">
        <v>2190</v>
      </c>
      <c r="K516" s="53" t="s">
        <v>2191</v>
      </c>
      <c r="L516" s="53" t="s">
        <v>15</v>
      </c>
      <c r="M516" s="53" t="s">
        <v>15</v>
      </c>
      <c r="N516" s="53" t="s">
        <v>15</v>
      </c>
      <c r="O516" s="53" t="s">
        <v>15</v>
      </c>
    </row>
    <row r="517" spans="1:15" x14ac:dyDescent="0.25">
      <c r="A517" s="52" t="s">
        <v>4763</v>
      </c>
      <c r="B517" s="54" t="str">
        <f t="shared" si="8"/>
        <v>IC,,ATMEL,AT24C16,DIP8</v>
      </c>
      <c r="C517" s="53" t="s">
        <v>15</v>
      </c>
      <c r="D517" s="53" t="s">
        <v>15</v>
      </c>
      <c r="E517" s="53" t="s">
        <v>15</v>
      </c>
      <c r="F517" s="53" t="s">
        <v>15</v>
      </c>
      <c r="G517" s="53"/>
      <c r="H517" s="53" t="s">
        <v>1236</v>
      </c>
      <c r="I517" s="53" t="s">
        <v>2192</v>
      </c>
      <c r="J517" s="53" t="s">
        <v>423</v>
      </c>
      <c r="K517" s="53" t="s">
        <v>2193</v>
      </c>
      <c r="L517" s="53" t="s">
        <v>15</v>
      </c>
      <c r="M517" s="53" t="s">
        <v>15</v>
      </c>
      <c r="N517" s="53" t="s">
        <v>15</v>
      </c>
      <c r="O517" s="53" t="s">
        <v>15</v>
      </c>
    </row>
    <row r="518" spans="1:15" x14ac:dyDescent="0.25">
      <c r="A518" s="52" t="s">
        <v>4764</v>
      </c>
      <c r="B518" s="54" t="str">
        <f t="shared" si="8"/>
        <v>IC,,NATIONAL,24C16,DIP8</v>
      </c>
      <c r="C518" s="53" t="s">
        <v>15</v>
      </c>
      <c r="D518" s="53" t="s">
        <v>15</v>
      </c>
      <c r="E518" s="53" t="s">
        <v>15</v>
      </c>
      <c r="F518" s="53" t="s">
        <v>15</v>
      </c>
      <c r="G518" s="53"/>
      <c r="H518" s="53" t="s">
        <v>1556</v>
      </c>
      <c r="I518" s="53" t="s">
        <v>2194</v>
      </c>
      <c r="J518" s="53" t="s">
        <v>423</v>
      </c>
      <c r="K518" s="53" t="s">
        <v>2195</v>
      </c>
      <c r="L518" s="53" t="s">
        <v>15</v>
      </c>
      <c r="M518" s="53" t="s">
        <v>15</v>
      </c>
      <c r="N518" s="53" t="s">
        <v>15</v>
      </c>
      <c r="O518" s="53" t="s">
        <v>15</v>
      </c>
    </row>
    <row r="519" spans="1:15" x14ac:dyDescent="0.25">
      <c r="A519" s="52" t="s">
        <v>4765</v>
      </c>
      <c r="B519" s="54" t="str">
        <f t="shared" si="8"/>
        <v>IC,,ONSEMI,MC7908,TO220</v>
      </c>
      <c r="C519" s="53" t="s">
        <v>15</v>
      </c>
      <c r="D519" s="53" t="s">
        <v>15</v>
      </c>
      <c r="E519" s="53" t="s">
        <v>15</v>
      </c>
      <c r="F519" s="53" t="s">
        <v>15</v>
      </c>
      <c r="G519" s="53"/>
      <c r="H519" s="53" t="s">
        <v>685</v>
      </c>
      <c r="I519" s="53" t="s">
        <v>1978</v>
      </c>
      <c r="J519" s="53" t="s">
        <v>780</v>
      </c>
      <c r="K519" s="53" t="s">
        <v>2196</v>
      </c>
      <c r="L519" s="53" t="s">
        <v>15</v>
      </c>
      <c r="M519" s="53" t="s">
        <v>15</v>
      </c>
      <c r="N519" s="53" t="s">
        <v>15</v>
      </c>
      <c r="O519" s="53" t="s">
        <v>15</v>
      </c>
    </row>
    <row r="520" spans="1:15" x14ac:dyDescent="0.25">
      <c r="A520" s="52" t="s">
        <v>4766</v>
      </c>
      <c r="B520" s="54" t="str">
        <f t="shared" si="8"/>
        <v>IC,,NATIONAL SEMI,LM337LZ,TO92</v>
      </c>
      <c r="C520" s="53" t="s">
        <v>15</v>
      </c>
      <c r="D520" s="53" t="s">
        <v>15</v>
      </c>
      <c r="E520" s="53" t="s">
        <v>15</v>
      </c>
      <c r="F520" s="53" t="s">
        <v>15</v>
      </c>
      <c r="G520" s="53"/>
      <c r="H520" s="53" t="s">
        <v>1995</v>
      </c>
      <c r="I520" s="53" t="s">
        <v>2197</v>
      </c>
      <c r="J520" s="53" t="s">
        <v>1540</v>
      </c>
      <c r="K520" s="53" t="s">
        <v>2198</v>
      </c>
      <c r="L520" s="53" t="s">
        <v>15</v>
      </c>
      <c r="M520" s="53" t="s">
        <v>15</v>
      </c>
      <c r="N520" s="53" t="s">
        <v>15</v>
      </c>
      <c r="O520" s="53" t="s">
        <v>15</v>
      </c>
    </row>
    <row r="521" spans="1:15" x14ac:dyDescent="0.25">
      <c r="A521" s="52" t="s">
        <v>4767</v>
      </c>
      <c r="B521" s="54" t="str">
        <f t="shared" si="8"/>
        <v>IC,,NXP,PCA5555,TSSOP</v>
      </c>
      <c r="C521" s="53" t="s">
        <v>15</v>
      </c>
      <c r="D521" s="53" t="s">
        <v>15</v>
      </c>
      <c r="E521" s="53" t="s">
        <v>15</v>
      </c>
      <c r="F521" s="53" t="s">
        <v>15</v>
      </c>
      <c r="G521" s="53"/>
      <c r="H521" s="53" t="s">
        <v>699</v>
      </c>
      <c r="I521" s="53" t="s">
        <v>2199</v>
      </c>
      <c r="J521" s="53" t="s">
        <v>1830</v>
      </c>
      <c r="K521" s="53" t="s">
        <v>2200</v>
      </c>
      <c r="L521" s="53" t="s">
        <v>15</v>
      </c>
      <c r="M521" s="53" t="s">
        <v>15</v>
      </c>
      <c r="N521" s="53" t="s">
        <v>15</v>
      </c>
      <c r="O521" s="53" t="s">
        <v>15</v>
      </c>
    </row>
    <row r="522" spans="1:15" x14ac:dyDescent="0.25">
      <c r="A522" s="52" t="s">
        <v>4768</v>
      </c>
      <c r="B522" s="54" t="str">
        <f t="shared" si="8"/>
        <v>IC,,ST,LF18CDT,DPAK</v>
      </c>
      <c r="C522" s="53" t="s">
        <v>15</v>
      </c>
      <c r="D522" s="53" t="s">
        <v>15</v>
      </c>
      <c r="E522" s="53" t="s">
        <v>15</v>
      </c>
      <c r="F522" s="53" t="s">
        <v>15</v>
      </c>
      <c r="G522" s="53"/>
      <c r="H522" s="53" t="s">
        <v>807</v>
      </c>
      <c r="I522" s="53" t="s">
        <v>2201</v>
      </c>
      <c r="J522" s="53" t="s">
        <v>932</v>
      </c>
      <c r="K522" s="53" t="s">
        <v>2202</v>
      </c>
      <c r="L522" s="53" t="s">
        <v>15</v>
      </c>
      <c r="M522" s="53" t="s">
        <v>15</v>
      </c>
      <c r="N522" s="53" t="s">
        <v>15</v>
      </c>
      <c r="O522" s="53" t="s">
        <v>15</v>
      </c>
    </row>
    <row r="523" spans="1:15" x14ac:dyDescent="0.25">
      <c r="A523" s="52" t="s">
        <v>4769</v>
      </c>
      <c r="B523" s="54" t="str">
        <f t="shared" si="8"/>
        <v>IC,,FTDI,FT232RL,</v>
      </c>
      <c r="C523" s="53" t="s">
        <v>15</v>
      </c>
      <c r="D523" s="53" t="s">
        <v>15</v>
      </c>
      <c r="E523" s="53" t="s">
        <v>15</v>
      </c>
      <c r="F523" s="53" t="s">
        <v>15</v>
      </c>
      <c r="G523" s="53"/>
      <c r="H523" s="53" t="s">
        <v>1308</v>
      </c>
      <c r="I523" s="53" t="s">
        <v>2203</v>
      </c>
      <c r="J523" s="53" t="s">
        <v>15</v>
      </c>
      <c r="K523" s="53" t="s">
        <v>2204</v>
      </c>
      <c r="L523" s="53" t="s">
        <v>15</v>
      </c>
      <c r="M523" s="53" t="s">
        <v>15</v>
      </c>
      <c r="N523" s="53" t="s">
        <v>15</v>
      </c>
      <c r="O523" s="53" t="s">
        <v>15</v>
      </c>
    </row>
    <row r="524" spans="1:15" x14ac:dyDescent="0.25">
      <c r="A524" s="52" t="s">
        <v>4770</v>
      </c>
      <c r="B524" s="54" t="str">
        <f t="shared" si="8"/>
        <v>IC,,TI,74AHCT594,TSSOP</v>
      </c>
      <c r="C524" s="53" t="s">
        <v>15</v>
      </c>
      <c r="D524" s="53" t="s">
        <v>15</v>
      </c>
      <c r="E524" s="53" t="s">
        <v>15</v>
      </c>
      <c r="F524" s="53" t="s">
        <v>15</v>
      </c>
      <c r="G524" s="53"/>
      <c r="H524" s="53" t="s">
        <v>1145</v>
      </c>
      <c r="I524" s="53" t="s">
        <v>2205</v>
      </c>
      <c r="J524" s="53" t="s">
        <v>1830</v>
      </c>
      <c r="K524" s="53" t="s">
        <v>2206</v>
      </c>
      <c r="L524" s="53" t="s">
        <v>15</v>
      </c>
      <c r="M524" s="53" t="s">
        <v>15</v>
      </c>
      <c r="N524" s="53" t="s">
        <v>15</v>
      </c>
      <c r="O524" s="53" t="s">
        <v>15</v>
      </c>
    </row>
    <row r="525" spans="1:15" x14ac:dyDescent="0.25">
      <c r="A525" s="52" t="s">
        <v>4771</v>
      </c>
      <c r="B525" s="54" t="str">
        <f t="shared" si="8"/>
        <v>IC,,TI,74V1G125,SOT25</v>
      </c>
      <c r="C525" s="53" t="s">
        <v>15</v>
      </c>
      <c r="D525" s="53" t="s">
        <v>15</v>
      </c>
      <c r="E525" s="53" t="s">
        <v>15</v>
      </c>
      <c r="F525" s="53" t="s">
        <v>15</v>
      </c>
      <c r="G525" s="53"/>
      <c r="H525" s="53" t="s">
        <v>1145</v>
      </c>
      <c r="I525" s="53" t="s">
        <v>1358</v>
      </c>
      <c r="J525" s="53" t="s">
        <v>1169</v>
      </c>
      <c r="K525" s="53" t="s">
        <v>2207</v>
      </c>
      <c r="L525" s="53" t="s">
        <v>15</v>
      </c>
      <c r="M525" s="53" t="s">
        <v>15</v>
      </c>
      <c r="N525" s="53" t="s">
        <v>15</v>
      </c>
      <c r="O525" s="53" t="s">
        <v>15</v>
      </c>
    </row>
    <row r="526" spans="1:15" x14ac:dyDescent="0.25">
      <c r="A526" s="52" t="s">
        <v>4772</v>
      </c>
      <c r="B526" s="54" t="str">
        <f t="shared" si="8"/>
        <v>IC,,MICROCHIP,24LC128,SO8</v>
      </c>
      <c r="C526" s="53" t="s">
        <v>15</v>
      </c>
      <c r="D526" s="53" t="s">
        <v>15</v>
      </c>
      <c r="E526" s="53" t="s">
        <v>15</v>
      </c>
      <c r="F526" s="53" t="s">
        <v>15</v>
      </c>
      <c r="G526" s="53"/>
      <c r="H526" s="53" t="s">
        <v>939</v>
      </c>
      <c r="I526" s="53" t="s">
        <v>2208</v>
      </c>
      <c r="J526" s="53" t="s">
        <v>1147</v>
      </c>
      <c r="K526" s="53" t="s">
        <v>2209</v>
      </c>
      <c r="L526" s="53" t="s">
        <v>15</v>
      </c>
      <c r="M526" s="53" t="s">
        <v>15</v>
      </c>
      <c r="N526" s="53" t="s">
        <v>15</v>
      </c>
      <c r="O526" s="53" t="s">
        <v>15</v>
      </c>
    </row>
    <row r="527" spans="1:15" x14ac:dyDescent="0.25">
      <c r="A527" s="52" t="s">
        <v>4773</v>
      </c>
      <c r="B527" s="54" t="str">
        <f t="shared" si="8"/>
        <v>IC,,,TPS62110,QFN</v>
      </c>
      <c r="C527" s="53" t="s">
        <v>15</v>
      </c>
      <c r="D527" s="53" t="s">
        <v>15</v>
      </c>
      <c r="E527" s="53" t="s">
        <v>15</v>
      </c>
      <c r="F527" s="53" t="s">
        <v>15</v>
      </c>
      <c r="G527" s="53"/>
      <c r="H527" s="53" t="s">
        <v>15</v>
      </c>
      <c r="I527" s="53" t="s">
        <v>1404</v>
      </c>
      <c r="J527" s="53" t="s">
        <v>2210</v>
      </c>
      <c r="K527" s="53" t="s">
        <v>2211</v>
      </c>
      <c r="L527" s="53" t="s">
        <v>15</v>
      </c>
      <c r="M527" s="53" t="s">
        <v>15</v>
      </c>
      <c r="N527" s="53" t="s">
        <v>15</v>
      </c>
      <c r="O527" s="53" t="s">
        <v>15</v>
      </c>
    </row>
    <row r="528" spans="1:15" x14ac:dyDescent="0.25">
      <c r="A528" s="52" t="s">
        <v>4774</v>
      </c>
      <c r="B528" s="54" t="str">
        <f t="shared" si="8"/>
        <v>IC,,NXP,TEA6425,SO</v>
      </c>
      <c r="C528" s="53" t="s">
        <v>15</v>
      </c>
      <c r="D528" s="53" t="s">
        <v>15</v>
      </c>
      <c r="E528" s="53" t="s">
        <v>15</v>
      </c>
      <c r="F528" s="53" t="s">
        <v>15</v>
      </c>
      <c r="G528" s="53"/>
      <c r="H528" s="53" t="s">
        <v>699</v>
      </c>
      <c r="I528" s="53" t="s">
        <v>2212</v>
      </c>
      <c r="J528" s="53" t="s">
        <v>1845</v>
      </c>
      <c r="K528" s="53" t="s">
        <v>2213</v>
      </c>
      <c r="L528" s="53" t="s">
        <v>15</v>
      </c>
      <c r="M528" s="53" t="s">
        <v>15</v>
      </c>
      <c r="N528" s="53" t="s">
        <v>15</v>
      </c>
      <c r="O528" s="53" t="s">
        <v>15</v>
      </c>
    </row>
    <row r="529" spans="1:15" x14ac:dyDescent="0.25">
      <c r="A529" s="52" t="s">
        <v>4775</v>
      </c>
      <c r="B529" s="54" t="str">
        <f t="shared" si="8"/>
        <v>IC,,FTDI,FT4232HL,TQF</v>
      </c>
      <c r="C529" s="53" t="s">
        <v>15</v>
      </c>
      <c r="D529" s="53" t="s">
        <v>15</v>
      </c>
      <c r="E529" s="53" t="s">
        <v>15</v>
      </c>
      <c r="F529" s="53" t="s">
        <v>15</v>
      </c>
      <c r="G529" s="53"/>
      <c r="H529" s="53" t="s">
        <v>1308</v>
      </c>
      <c r="I529" s="53" t="s">
        <v>2214</v>
      </c>
      <c r="J529" s="53" t="s">
        <v>2215</v>
      </c>
      <c r="K529" s="53" t="s">
        <v>2216</v>
      </c>
      <c r="L529" s="53" t="s">
        <v>15</v>
      </c>
      <c r="M529" s="53" t="s">
        <v>15</v>
      </c>
      <c r="N529" s="53" t="s">
        <v>15</v>
      </c>
      <c r="O529" s="53" t="s">
        <v>15</v>
      </c>
    </row>
    <row r="530" spans="1:15" x14ac:dyDescent="0.25">
      <c r="A530" s="52" t="s">
        <v>4776</v>
      </c>
      <c r="B530" s="54" t="str">
        <f t="shared" si="8"/>
        <v>IC,,,IL207AT,</v>
      </c>
      <c r="C530" s="53" t="s">
        <v>15</v>
      </c>
      <c r="D530" s="53" t="s">
        <v>15</v>
      </c>
      <c r="E530" s="53" t="s">
        <v>15</v>
      </c>
      <c r="F530" s="53" t="s">
        <v>15</v>
      </c>
      <c r="G530" s="53"/>
      <c r="H530" s="53" t="s">
        <v>15</v>
      </c>
      <c r="I530" s="53" t="s">
        <v>2217</v>
      </c>
      <c r="J530" s="53" t="s">
        <v>15</v>
      </c>
      <c r="K530" s="53" t="s">
        <v>2218</v>
      </c>
      <c r="L530" s="53" t="s">
        <v>15</v>
      </c>
      <c r="M530" s="53" t="s">
        <v>15</v>
      </c>
      <c r="N530" s="53" t="s">
        <v>15</v>
      </c>
      <c r="O530" s="53" t="s">
        <v>15</v>
      </c>
    </row>
    <row r="531" spans="1:15" x14ac:dyDescent="0.25">
      <c r="A531" s="52" t="s">
        <v>4777</v>
      </c>
      <c r="B531" s="54" t="str">
        <f t="shared" si="8"/>
        <v>IC,,ATMEL,AT42QT2160,QFN</v>
      </c>
      <c r="C531" s="53" t="s">
        <v>15</v>
      </c>
      <c r="D531" s="53" t="s">
        <v>15</v>
      </c>
      <c r="E531" s="53" t="s">
        <v>15</v>
      </c>
      <c r="F531" s="53" t="s">
        <v>15</v>
      </c>
      <c r="G531" s="53"/>
      <c r="H531" s="53" t="s">
        <v>1236</v>
      </c>
      <c r="I531" s="53" t="s">
        <v>2219</v>
      </c>
      <c r="J531" s="53" t="s">
        <v>2210</v>
      </c>
      <c r="K531" s="53" t="s">
        <v>2220</v>
      </c>
      <c r="L531" s="53" t="s">
        <v>15</v>
      </c>
      <c r="M531" s="53" t="s">
        <v>15</v>
      </c>
      <c r="N531" s="53" t="s">
        <v>15</v>
      </c>
      <c r="O531" s="53" t="s">
        <v>15</v>
      </c>
    </row>
    <row r="532" spans="1:15" x14ac:dyDescent="0.25">
      <c r="A532" s="52" t="s">
        <v>4778</v>
      </c>
      <c r="B532" s="54" t="str">
        <f t="shared" si="8"/>
        <v>IC,,ANALOG DEVICES,AD706,SO8</v>
      </c>
      <c r="C532" s="53" t="s">
        <v>15</v>
      </c>
      <c r="D532" s="53" t="s">
        <v>15</v>
      </c>
      <c r="E532" s="53" t="s">
        <v>15</v>
      </c>
      <c r="F532" s="53" t="s">
        <v>15</v>
      </c>
      <c r="G532" s="53"/>
      <c r="H532" s="53" t="s">
        <v>1240</v>
      </c>
      <c r="I532" s="53" t="s">
        <v>2221</v>
      </c>
      <c r="J532" s="53" t="s">
        <v>1147</v>
      </c>
      <c r="K532" s="53" t="s">
        <v>2222</v>
      </c>
      <c r="L532" s="53" t="s">
        <v>15</v>
      </c>
      <c r="M532" s="53" t="s">
        <v>15</v>
      </c>
      <c r="N532" s="53" t="s">
        <v>15</v>
      </c>
      <c r="O532" s="53" t="s">
        <v>15</v>
      </c>
    </row>
    <row r="533" spans="1:15" x14ac:dyDescent="0.25">
      <c r="A533" s="52" t="s">
        <v>4779</v>
      </c>
      <c r="B533" s="54" t="str">
        <f t="shared" si="8"/>
        <v>IC,,,SPV1040,TSSOP8</v>
      </c>
      <c r="C533" s="53" t="s">
        <v>15</v>
      </c>
      <c r="D533" s="53" t="s">
        <v>15</v>
      </c>
      <c r="E533" s="53" t="s">
        <v>15</v>
      </c>
      <c r="F533" s="53" t="s">
        <v>15</v>
      </c>
      <c r="G533" s="53"/>
      <c r="H533" s="53" t="s">
        <v>15</v>
      </c>
      <c r="I533" s="53" t="s">
        <v>2223</v>
      </c>
      <c r="J533" s="53" t="s">
        <v>1835</v>
      </c>
      <c r="K533" s="53" t="s">
        <v>2224</v>
      </c>
      <c r="L533" s="53" t="s">
        <v>15</v>
      </c>
      <c r="M533" s="53" t="s">
        <v>15</v>
      </c>
      <c r="N533" s="53" t="s">
        <v>15</v>
      </c>
      <c r="O533" s="53" t="s">
        <v>15</v>
      </c>
    </row>
    <row r="534" spans="1:15" x14ac:dyDescent="0.25">
      <c r="A534" s="52" t="s">
        <v>4780</v>
      </c>
      <c r="B534" s="54" t="str">
        <f t="shared" si="8"/>
        <v>IC,,ANALOG DEVICES,ADG409BR,SO</v>
      </c>
      <c r="C534" s="53" t="s">
        <v>15</v>
      </c>
      <c r="D534" s="53" t="s">
        <v>15</v>
      </c>
      <c r="E534" s="53" t="s">
        <v>15</v>
      </c>
      <c r="F534" s="53" t="s">
        <v>15</v>
      </c>
      <c r="G534" s="53"/>
      <c r="H534" s="53" t="s">
        <v>1240</v>
      </c>
      <c r="I534" s="53" t="s">
        <v>2225</v>
      </c>
      <c r="J534" s="53" t="s">
        <v>1845</v>
      </c>
      <c r="K534" s="53" t="s">
        <v>2226</v>
      </c>
      <c r="L534" s="53" t="s">
        <v>15</v>
      </c>
      <c r="M534" s="53" t="s">
        <v>15</v>
      </c>
      <c r="N534" s="53" t="s">
        <v>15</v>
      </c>
      <c r="O534" s="53" t="s">
        <v>15</v>
      </c>
    </row>
    <row r="535" spans="1:15" x14ac:dyDescent="0.25">
      <c r="A535" s="52" t="s">
        <v>4781</v>
      </c>
      <c r="B535" s="54" t="str">
        <f t="shared" si="8"/>
        <v>IC,,,ACPL247-500,SO</v>
      </c>
      <c r="C535" s="53" t="s">
        <v>15</v>
      </c>
      <c r="D535" s="53" t="s">
        <v>15</v>
      </c>
      <c r="E535" s="53" t="s">
        <v>15</v>
      </c>
      <c r="F535" s="53" t="s">
        <v>15</v>
      </c>
      <c r="G535" s="53"/>
      <c r="H535" s="53" t="s">
        <v>15</v>
      </c>
      <c r="I535" s="53" t="s">
        <v>2227</v>
      </c>
      <c r="J535" s="53" t="s">
        <v>1845</v>
      </c>
      <c r="K535" s="53" t="s">
        <v>2228</v>
      </c>
      <c r="L535" s="53" t="s">
        <v>15</v>
      </c>
      <c r="M535" s="53" t="s">
        <v>15</v>
      </c>
      <c r="N535" s="53" t="s">
        <v>15</v>
      </c>
      <c r="O535" s="53" t="s">
        <v>15</v>
      </c>
    </row>
    <row r="536" spans="1:15" x14ac:dyDescent="0.25">
      <c r="A536" s="52" t="s">
        <v>4782</v>
      </c>
      <c r="B536" s="54" t="str">
        <f t="shared" si="8"/>
        <v>IC,,ST,74V1G08STR,</v>
      </c>
      <c r="C536" s="53" t="s">
        <v>15</v>
      </c>
      <c r="D536" s="53" t="s">
        <v>15</v>
      </c>
      <c r="E536" s="53" t="s">
        <v>15</v>
      </c>
      <c r="F536" s="53" t="s">
        <v>15</v>
      </c>
      <c r="G536" s="53"/>
      <c r="H536" s="53" t="s">
        <v>807</v>
      </c>
      <c r="I536" s="53" t="s">
        <v>2229</v>
      </c>
      <c r="J536" s="53" t="s">
        <v>15</v>
      </c>
      <c r="K536" s="53" t="s">
        <v>2230</v>
      </c>
      <c r="L536" s="53" t="s">
        <v>15</v>
      </c>
      <c r="M536" s="53" t="s">
        <v>15</v>
      </c>
      <c r="N536" s="53" t="s">
        <v>15</v>
      </c>
      <c r="O536" s="53" t="s">
        <v>15</v>
      </c>
    </row>
    <row r="537" spans="1:15" x14ac:dyDescent="0.25">
      <c r="A537" s="52" t="s">
        <v>4783</v>
      </c>
      <c r="B537" s="54" t="str">
        <f t="shared" si="8"/>
        <v>IC,,,74HC14,SO14</v>
      </c>
      <c r="C537" s="53" t="s">
        <v>15</v>
      </c>
      <c r="D537" s="53" t="s">
        <v>15</v>
      </c>
      <c r="E537" s="53" t="s">
        <v>15</v>
      </c>
      <c r="F537" s="53" t="s">
        <v>15</v>
      </c>
      <c r="G537" s="53"/>
      <c r="H537" s="53" t="s">
        <v>15</v>
      </c>
      <c r="I537" s="53" t="s">
        <v>1703</v>
      </c>
      <c r="J537" s="53" t="s">
        <v>1194</v>
      </c>
      <c r="K537" s="53" t="s">
        <v>2231</v>
      </c>
      <c r="L537" s="53" t="s">
        <v>15</v>
      </c>
      <c r="M537" s="53" t="s">
        <v>15</v>
      </c>
      <c r="N537" s="53" t="s">
        <v>15</v>
      </c>
      <c r="O537" s="53" t="s">
        <v>15</v>
      </c>
    </row>
    <row r="538" spans="1:15" x14ac:dyDescent="0.25">
      <c r="A538" s="52" t="s">
        <v>4784</v>
      </c>
      <c r="B538" s="54" t="str">
        <f t="shared" si="8"/>
        <v>IC,,NATIONAL,LM4510SD,</v>
      </c>
      <c r="C538" s="53" t="s">
        <v>15</v>
      </c>
      <c r="D538" s="53" t="s">
        <v>15</v>
      </c>
      <c r="E538" s="53" t="s">
        <v>15</v>
      </c>
      <c r="F538" s="53" t="s">
        <v>15</v>
      </c>
      <c r="G538" s="53"/>
      <c r="H538" s="53" t="s">
        <v>1556</v>
      </c>
      <c r="I538" s="53" t="s">
        <v>2232</v>
      </c>
      <c r="J538" s="53" t="s">
        <v>15</v>
      </c>
      <c r="K538" s="53" t="s">
        <v>2233</v>
      </c>
      <c r="L538" s="53" t="s">
        <v>15</v>
      </c>
      <c r="M538" s="53" t="s">
        <v>15</v>
      </c>
      <c r="N538" s="53" t="s">
        <v>15</v>
      </c>
      <c r="O538" s="53" t="s">
        <v>15</v>
      </c>
    </row>
    <row r="539" spans="1:15" x14ac:dyDescent="0.25">
      <c r="A539" s="52" t="s">
        <v>4785</v>
      </c>
      <c r="B539" s="54" t="str">
        <f t="shared" si="8"/>
        <v>IC,,NXP,BZX84C5V1LT1,</v>
      </c>
      <c r="C539" s="53" t="s">
        <v>15</v>
      </c>
      <c r="D539" s="53" t="s">
        <v>15</v>
      </c>
      <c r="E539" s="53" t="s">
        <v>15</v>
      </c>
      <c r="F539" s="53" t="s">
        <v>15</v>
      </c>
      <c r="G539" s="53"/>
      <c r="H539" s="53" t="s">
        <v>699</v>
      </c>
      <c r="I539" s="53" t="s">
        <v>954</v>
      </c>
      <c r="J539" s="53" t="s">
        <v>15</v>
      </c>
      <c r="K539" s="53" t="s">
        <v>955</v>
      </c>
      <c r="L539" s="53" t="s">
        <v>15</v>
      </c>
      <c r="M539" s="53" t="s">
        <v>15</v>
      </c>
      <c r="N539" s="53" t="s">
        <v>15</v>
      </c>
      <c r="O539" s="53" t="s">
        <v>15</v>
      </c>
    </row>
    <row r="540" spans="1:15" x14ac:dyDescent="0.25">
      <c r="A540" s="52" t="s">
        <v>4786</v>
      </c>
      <c r="B540" s="54" t="str">
        <f t="shared" si="8"/>
        <v>IC,,ST,ST3222,</v>
      </c>
      <c r="C540" s="53" t="s">
        <v>15</v>
      </c>
      <c r="D540" s="53" t="s">
        <v>15</v>
      </c>
      <c r="E540" s="53" t="s">
        <v>15</v>
      </c>
      <c r="F540" s="53" t="s">
        <v>15</v>
      </c>
      <c r="G540" s="53"/>
      <c r="H540" s="53" t="s">
        <v>807</v>
      </c>
      <c r="I540" s="53" t="s">
        <v>2234</v>
      </c>
      <c r="J540" s="53" t="s">
        <v>15</v>
      </c>
      <c r="K540" s="53" t="s">
        <v>2235</v>
      </c>
      <c r="L540" s="53" t="s">
        <v>15</v>
      </c>
      <c r="M540" s="53" t="s">
        <v>15</v>
      </c>
      <c r="N540" s="53" t="s">
        <v>15</v>
      </c>
      <c r="O540" s="53" t="s">
        <v>15</v>
      </c>
    </row>
    <row r="541" spans="1:15" x14ac:dyDescent="0.25">
      <c r="A541" s="52" t="s">
        <v>4787</v>
      </c>
      <c r="B541" s="54" t="str">
        <f t="shared" si="8"/>
        <v>IC,,CATALYST,CAT24C32WI-6T3,</v>
      </c>
      <c r="C541" s="53" t="s">
        <v>15</v>
      </c>
      <c r="D541" s="53" t="s">
        <v>15</v>
      </c>
      <c r="E541" s="53" t="s">
        <v>15</v>
      </c>
      <c r="F541" s="53" t="s">
        <v>15</v>
      </c>
      <c r="G541" s="53"/>
      <c r="H541" s="53" t="s">
        <v>1225</v>
      </c>
      <c r="I541" s="53" t="s">
        <v>2236</v>
      </c>
      <c r="J541" s="53" t="s">
        <v>15</v>
      </c>
      <c r="K541" s="53" t="s">
        <v>2237</v>
      </c>
      <c r="L541" s="53" t="s">
        <v>15</v>
      </c>
      <c r="M541" s="53" t="s">
        <v>15</v>
      </c>
      <c r="N541" s="53" t="s">
        <v>15</v>
      </c>
      <c r="O541" s="53" t="s">
        <v>15</v>
      </c>
    </row>
    <row r="542" spans="1:15" x14ac:dyDescent="0.25">
      <c r="A542" s="52" t="s">
        <v>4788</v>
      </c>
      <c r="B542" s="54" t="str">
        <f t="shared" si="8"/>
        <v>IC,,ANALOG DEVICES,AD705JR,SO8</v>
      </c>
      <c r="C542" s="53" t="s">
        <v>15</v>
      </c>
      <c r="D542" s="53" t="s">
        <v>15</v>
      </c>
      <c r="E542" s="53" t="s">
        <v>15</v>
      </c>
      <c r="F542" s="53" t="s">
        <v>15</v>
      </c>
      <c r="G542" s="53"/>
      <c r="H542" s="53" t="s">
        <v>1240</v>
      </c>
      <c r="I542" s="53" t="s">
        <v>2238</v>
      </c>
      <c r="J542" s="53" t="s">
        <v>1147</v>
      </c>
      <c r="K542" s="53" t="s">
        <v>2239</v>
      </c>
      <c r="L542" s="53" t="s">
        <v>15</v>
      </c>
      <c r="M542" s="53" t="s">
        <v>15</v>
      </c>
      <c r="N542" s="53" t="s">
        <v>15</v>
      </c>
      <c r="O542" s="53" t="s">
        <v>15</v>
      </c>
    </row>
    <row r="543" spans="1:15" x14ac:dyDescent="0.25">
      <c r="A543" s="52" t="s">
        <v>4789</v>
      </c>
      <c r="B543" s="54" t="str">
        <f t="shared" si="8"/>
        <v>IC,,NXP,SAA1064,SO</v>
      </c>
      <c r="C543" s="53" t="s">
        <v>15</v>
      </c>
      <c r="D543" s="53" t="s">
        <v>15</v>
      </c>
      <c r="E543" s="53" t="s">
        <v>15</v>
      </c>
      <c r="F543" s="53" t="s">
        <v>15</v>
      </c>
      <c r="G543" s="53"/>
      <c r="H543" s="53" t="s">
        <v>699</v>
      </c>
      <c r="I543" s="53" t="s">
        <v>2240</v>
      </c>
      <c r="J543" s="53" t="s">
        <v>1845</v>
      </c>
      <c r="K543" s="53" t="s">
        <v>2241</v>
      </c>
      <c r="L543" s="53" t="s">
        <v>15</v>
      </c>
      <c r="M543" s="53" t="s">
        <v>15</v>
      </c>
      <c r="N543" s="53" t="s">
        <v>15</v>
      </c>
      <c r="O543" s="53" t="s">
        <v>15</v>
      </c>
    </row>
    <row r="544" spans="1:15" x14ac:dyDescent="0.25">
      <c r="A544" s="52" t="s">
        <v>4790</v>
      </c>
      <c r="B544" s="54" t="str">
        <f t="shared" si="8"/>
        <v>IC,LOGIC,FIFO,TI,74V283,TQFP</v>
      </c>
      <c r="C544" s="53" t="s">
        <v>15</v>
      </c>
      <c r="D544" s="53" t="s">
        <v>15</v>
      </c>
      <c r="E544" s="53" t="s">
        <v>15</v>
      </c>
      <c r="F544" s="53" t="s">
        <v>15</v>
      </c>
      <c r="G544" s="53" t="s">
        <v>4950</v>
      </c>
      <c r="H544" s="53" t="s">
        <v>1145</v>
      </c>
      <c r="I544" s="53" t="s">
        <v>2242</v>
      </c>
      <c r="J544" s="53" t="s">
        <v>2243</v>
      </c>
      <c r="K544" s="53" t="s">
        <v>2244</v>
      </c>
      <c r="L544" s="53" t="s">
        <v>15</v>
      </c>
      <c r="M544" s="53" t="s">
        <v>15</v>
      </c>
      <c r="N544" s="53" t="s">
        <v>15</v>
      </c>
      <c r="O544" s="53" t="s">
        <v>15</v>
      </c>
    </row>
    <row r="545" spans="1:15" x14ac:dyDescent="0.25">
      <c r="A545" s="52" t="s">
        <v>4791</v>
      </c>
      <c r="B545" s="54" t="str">
        <f t="shared" si="8"/>
        <v>IC,,TI,74V1G02STR,</v>
      </c>
      <c r="C545" s="53" t="s">
        <v>15</v>
      </c>
      <c r="D545" s="53" t="s">
        <v>15</v>
      </c>
      <c r="E545" s="53" t="s">
        <v>15</v>
      </c>
      <c r="F545" s="53" t="s">
        <v>15</v>
      </c>
      <c r="G545" s="53"/>
      <c r="H545" s="53" t="s">
        <v>1145</v>
      </c>
      <c r="I545" s="53" t="s">
        <v>2245</v>
      </c>
      <c r="J545" s="53" t="s">
        <v>15</v>
      </c>
      <c r="K545" s="53" t="s">
        <v>2246</v>
      </c>
      <c r="L545" s="53" t="s">
        <v>15</v>
      </c>
      <c r="M545" s="53" t="s">
        <v>15</v>
      </c>
      <c r="N545" s="53" t="s">
        <v>15</v>
      </c>
      <c r="O545" s="53" t="s">
        <v>15</v>
      </c>
    </row>
    <row r="546" spans="1:15" x14ac:dyDescent="0.25">
      <c r="A546" s="52" t="s">
        <v>4792</v>
      </c>
      <c r="B546" s="54" t="str">
        <f t="shared" si="8"/>
        <v>IC,,ST,STCF02PNR,</v>
      </c>
      <c r="C546" s="53" t="s">
        <v>15</v>
      </c>
      <c r="D546" s="53" t="s">
        <v>15</v>
      </c>
      <c r="E546" s="53" t="s">
        <v>15</v>
      </c>
      <c r="F546" s="53" t="s">
        <v>15</v>
      </c>
      <c r="G546" s="53"/>
      <c r="H546" s="53" t="s">
        <v>807</v>
      </c>
      <c r="I546" s="53" t="s">
        <v>2247</v>
      </c>
      <c r="J546" s="53" t="s">
        <v>15</v>
      </c>
      <c r="K546" s="53" t="s">
        <v>2248</v>
      </c>
      <c r="L546" s="53" t="s">
        <v>15</v>
      </c>
      <c r="M546" s="53" t="s">
        <v>15</v>
      </c>
      <c r="N546" s="53" t="s">
        <v>15</v>
      </c>
      <c r="O546" s="53" t="s">
        <v>15</v>
      </c>
    </row>
    <row r="547" spans="1:15" x14ac:dyDescent="0.25">
      <c r="A547" s="52" t="s">
        <v>4793</v>
      </c>
      <c r="B547" s="54" t="str">
        <f t="shared" si="8"/>
        <v>IC,,TI,SN74LVC244APWR,</v>
      </c>
      <c r="C547" s="53" t="s">
        <v>15</v>
      </c>
      <c r="D547" s="53" t="s">
        <v>15</v>
      </c>
      <c r="E547" s="53" t="s">
        <v>15</v>
      </c>
      <c r="F547" s="53" t="s">
        <v>15</v>
      </c>
      <c r="G547" s="53"/>
      <c r="H547" s="53" t="s">
        <v>1145</v>
      </c>
      <c r="I547" s="53" t="s">
        <v>2249</v>
      </c>
      <c r="J547" s="53" t="s">
        <v>15</v>
      </c>
      <c r="K547" s="53" t="s">
        <v>2250</v>
      </c>
      <c r="L547" s="53" t="s">
        <v>15</v>
      </c>
      <c r="M547" s="53" t="s">
        <v>15</v>
      </c>
      <c r="N547" s="53" t="s">
        <v>15</v>
      </c>
      <c r="O547" s="53" t="s">
        <v>15</v>
      </c>
    </row>
    <row r="548" spans="1:15" x14ac:dyDescent="0.25">
      <c r="A548" s="52" t="s">
        <v>4794</v>
      </c>
      <c r="B548" s="54" t="str">
        <f t="shared" si="8"/>
        <v>IC,,ST,M24128-BRMN6TP,</v>
      </c>
      <c r="C548" s="53" t="s">
        <v>15</v>
      </c>
      <c r="D548" s="53" t="s">
        <v>15</v>
      </c>
      <c r="E548" s="53" t="s">
        <v>15</v>
      </c>
      <c r="F548" s="53" t="s">
        <v>15</v>
      </c>
      <c r="G548" s="53"/>
      <c r="H548" s="53" t="s">
        <v>807</v>
      </c>
      <c r="I548" s="53" t="s">
        <v>2251</v>
      </c>
      <c r="J548" s="53" t="s">
        <v>15</v>
      </c>
      <c r="K548" s="53" t="s">
        <v>2252</v>
      </c>
      <c r="L548" s="53" t="s">
        <v>15</v>
      </c>
      <c r="M548" s="53" t="s">
        <v>15</v>
      </c>
      <c r="N548" s="53" t="s">
        <v>15</v>
      </c>
      <c r="O548" s="53" t="s">
        <v>15</v>
      </c>
    </row>
    <row r="549" spans="1:15" x14ac:dyDescent="0.25">
      <c r="A549" s="52" t="s">
        <v>4795</v>
      </c>
      <c r="B549" s="54" t="str">
        <f t="shared" si="8"/>
        <v>IC,,NATIONAL SEMI,MM5450YV,</v>
      </c>
      <c r="C549" s="53" t="s">
        <v>15</v>
      </c>
      <c r="D549" s="53" t="s">
        <v>15</v>
      </c>
      <c r="E549" s="53" t="s">
        <v>15</v>
      </c>
      <c r="F549" s="53" t="s">
        <v>15</v>
      </c>
      <c r="G549" s="53"/>
      <c r="H549" s="53" t="s">
        <v>1995</v>
      </c>
      <c r="I549" s="53" t="s">
        <v>2253</v>
      </c>
      <c r="J549" s="53" t="s">
        <v>15</v>
      </c>
      <c r="K549" s="53" t="s">
        <v>2254</v>
      </c>
      <c r="L549" s="53" t="s">
        <v>15</v>
      </c>
      <c r="M549" s="53" t="s">
        <v>15</v>
      </c>
      <c r="N549" s="53" t="s">
        <v>15</v>
      </c>
      <c r="O549" s="53" t="s">
        <v>15</v>
      </c>
    </row>
    <row r="550" spans="1:15" x14ac:dyDescent="0.25">
      <c r="A550" s="52" t="s">
        <v>4796</v>
      </c>
      <c r="B550" s="54" t="str">
        <f t="shared" si="8"/>
        <v>IC,,NXP,PCA9554,SO</v>
      </c>
      <c r="C550" s="53" t="s">
        <v>15</v>
      </c>
      <c r="D550" s="53" t="s">
        <v>15</v>
      </c>
      <c r="E550" s="53" t="s">
        <v>15</v>
      </c>
      <c r="F550" s="53" t="s">
        <v>15</v>
      </c>
      <c r="G550" s="53"/>
      <c r="H550" s="53" t="s">
        <v>699</v>
      </c>
      <c r="I550" s="53" t="s">
        <v>1829</v>
      </c>
      <c r="J550" s="53" t="s">
        <v>1845</v>
      </c>
      <c r="K550" s="53" t="s">
        <v>2255</v>
      </c>
      <c r="L550" s="53" t="s">
        <v>15</v>
      </c>
      <c r="M550" s="53" t="s">
        <v>15</v>
      </c>
      <c r="N550" s="53" t="s">
        <v>15</v>
      </c>
      <c r="O550" s="53" t="s">
        <v>15</v>
      </c>
    </row>
    <row r="551" spans="1:15" x14ac:dyDescent="0.25">
      <c r="A551" s="52" t="s">
        <v>4797</v>
      </c>
      <c r="B551" s="54" t="str">
        <f t="shared" si="8"/>
        <v>IC,,MAXIM,MAX4212EUK+TCT,</v>
      </c>
      <c r="C551" s="53" t="s">
        <v>15</v>
      </c>
      <c r="D551" s="53" t="s">
        <v>15</v>
      </c>
      <c r="E551" s="53" t="s">
        <v>15</v>
      </c>
      <c r="F551" s="53" t="s">
        <v>15</v>
      </c>
      <c r="G551" s="53"/>
      <c r="H551" s="53" t="s">
        <v>1229</v>
      </c>
      <c r="I551" s="53" t="s">
        <v>2256</v>
      </c>
      <c r="J551" s="53" t="s">
        <v>15</v>
      </c>
      <c r="K551" s="53" t="s">
        <v>2257</v>
      </c>
      <c r="L551" s="53" t="s">
        <v>15</v>
      </c>
      <c r="M551" s="53" t="s">
        <v>15</v>
      </c>
      <c r="N551" s="53" t="s">
        <v>15</v>
      </c>
      <c r="O551" s="53" t="s">
        <v>15</v>
      </c>
    </row>
    <row r="552" spans="1:15" x14ac:dyDescent="0.25">
      <c r="A552" s="52" t="s">
        <v>4798</v>
      </c>
      <c r="B552" s="54" t="str">
        <f t="shared" si="8"/>
        <v>IC,,ANALOG DEVICES,AD9850,</v>
      </c>
      <c r="C552" s="53" t="s">
        <v>15</v>
      </c>
      <c r="D552" s="53" t="s">
        <v>15</v>
      </c>
      <c r="E552" s="53" t="s">
        <v>15</v>
      </c>
      <c r="F552" s="53" t="s">
        <v>15</v>
      </c>
      <c r="G552" s="53"/>
      <c r="H552" s="53" t="s">
        <v>1240</v>
      </c>
      <c r="I552" s="53" t="s">
        <v>2258</v>
      </c>
      <c r="J552" s="53" t="s">
        <v>15</v>
      </c>
      <c r="K552" s="53" t="s">
        <v>2259</v>
      </c>
      <c r="L552" s="53" t="s">
        <v>15</v>
      </c>
      <c r="M552" s="53" t="s">
        <v>15</v>
      </c>
      <c r="N552" s="53" t="s">
        <v>15</v>
      </c>
      <c r="O552" s="53" t="s">
        <v>15</v>
      </c>
    </row>
    <row r="553" spans="1:15" x14ac:dyDescent="0.25">
      <c r="A553" s="52" t="s">
        <v>4799</v>
      </c>
      <c r="B553" s="54" t="str">
        <f t="shared" si="8"/>
        <v>IC,LOGIC,QUAD NAND2,TI,74LCX00,</v>
      </c>
      <c r="C553" s="53" t="s">
        <v>15</v>
      </c>
      <c r="D553" s="53" t="s">
        <v>15</v>
      </c>
      <c r="E553" s="53" t="s">
        <v>15</v>
      </c>
      <c r="F553" s="53" t="s">
        <v>15</v>
      </c>
      <c r="G553" s="53" t="s">
        <v>4968</v>
      </c>
      <c r="H553" s="53" t="s">
        <v>1145</v>
      </c>
      <c r="I553" s="53" t="s">
        <v>2260</v>
      </c>
      <c r="J553" s="53" t="s">
        <v>15</v>
      </c>
      <c r="K553" s="53" t="s">
        <v>2261</v>
      </c>
      <c r="L553" s="53" t="s">
        <v>15</v>
      </c>
      <c r="M553" s="53" t="s">
        <v>15</v>
      </c>
      <c r="N553" s="53" t="s">
        <v>15</v>
      </c>
      <c r="O553" s="53" t="s">
        <v>15</v>
      </c>
    </row>
    <row r="554" spans="1:15" x14ac:dyDescent="0.25">
      <c r="A554" s="52" t="s">
        <v>4800</v>
      </c>
      <c r="B554" s="54" t="str">
        <f t="shared" si="8"/>
        <v>IC,,ST,M25P80-VMW6,</v>
      </c>
      <c r="C554" s="53" t="s">
        <v>15</v>
      </c>
      <c r="D554" s="53" t="s">
        <v>15</v>
      </c>
      <c r="E554" s="53" t="s">
        <v>15</v>
      </c>
      <c r="F554" s="53" t="s">
        <v>15</v>
      </c>
      <c r="G554" s="53"/>
      <c r="H554" s="53" t="s">
        <v>807</v>
      </c>
      <c r="I554" s="53" t="s">
        <v>2262</v>
      </c>
      <c r="J554" s="53" t="s">
        <v>15</v>
      </c>
      <c r="K554" s="53" t="s">
        <v>2263</v>
      </c>
      <c r="L554" s="53" t="s">
        <v>15</v>
      </c>
      <c r="M554" s="53" t="s">
        <v>15</v>
      </c>
      <c r="N554" s="53" t="s">
        <v>15</v>
      </c>
      <c r="O554" s="53" t="s">
        <v>15</v>
      </c>
    </row>
    <row r="555" spans="1:15" x14ac:dyDescent="0.25">
      <c r="A555" s="52" t="s">
        <v>4801</v>
      </c>
      <c r="B555" s="54" t="str">
        <f t="shared" si="8"/>
        <v>IC,,ATMEL,AT42QT1070,</v>
      </c>
      <c r="C555" s="53" t="s">
        <v>15</v>
      </c>
      <c r="D555" s="53" t="s">
        <v>15</v>
      </c>
      <c r="E555" s="53" t="s">
        <v>15</v>
      </c>
      <c r="F555" s="53" t="s">
        <v>15</v>
      </c>
      <c r="G555" s="53"/>
      <c r="H555" s="53" t="s">
        <v>1236</v>
      </c>
      <c r="I555" s="53" t="s">
        <v>2264</v>
      </c>
      <c r="J555" s="53" t="s">
        <v>15</v>
      </c>
      <c r="K555" s="53" t="s">
        <v>2265</v>
      </c>
      <c r="L555" s="53" t="s">
        <v>15</v>
      </c>
      <c r="M555" s="53" t="s">
        <v>15</v>
      </c>
      <c r="N555" s="53" t="s">
        <v>15</v>
      </c>
      <c r="O555" s="53" t="s">
        <v>15</v>
      </c>
    </row>
    <row r="556" spans="1:15" x14ac:dyDescent="0.25">
      <c r="A556" s="52" t="s">
        <v>4802</v>
      </c>
      <c r="B556" s="54" t="str">
        <f t="shared" si="8"/>
        <v>IC,,MAXIM,MAX809LEUR,</v>
      </c>
      <c r="C556" s="53" t="s">
        <v>15</v>
      </c>
      <c r="D556" s="53" t="s">
        <v>15</v>
      </c>
      <c r="E556" s="53" t="s">
        <v>15</v>
      </c>
      <c r="F556" s="53" t="s">
        <v>15</v>
      </c>
      <c r="G556" s="53"/>
      <c r="H556" s="53" t="s">
        <v>1229</v>
      </c>
      <c r="I556" s="53" t="s">
        <v>2266</v>
      </c>
      <c r="J556" s="53" t="s">
        <v>15</v>
      </c>
      <c r="K556" s="53" t="s">
        <v>2267</v>
      </c>
      <c r="L556" s="53" t="s">
        <v>15</v>
      </c>
      <c r="M556" s="53" t="s">
        <v>15</v>
      </c>
      <c r="N556" s="53" t="s">
        <v>15</v>
      </c>
      <c r="O556" s="53" t="s">
        <v>15</v>
      </c>
    </row>
    <row r="557" spans="1:15" x14ac:dyDescent="0.25">
      <c r="A557" s="52" t="s">
        <v>4803</v>
      </c>
      <c r="B557" s="54" t="str">
        <f t="shared" si="8"/>
        <v>IC,RF,MMIC,POWER SPLITTER,MINI CIRCUITS,GP2S+,</v>
      </c>
      <c r="C557" s="53" t="s">
        <v>15</v>
      </c>
      <c r="D557" s="53" t="s">
        <v>15</v>
      </c>
      <c r="E557" s="53" t="s">
        <v>15</v>
      </c>
      <c r="F557" s="53" t="s">
        <v>15</v>
      </c>
      <c r="G557" s="53" t="s">
        <v>4951</v>
      </c>
      <c r="H557" s="53" t="s">
        <v>1760</v>
      </c>
      <c r="I557" s="53" t="s">
        <v>2268</v>
      </c>
      <c r="J557" s="53" t="s">
        <v>15</v>
      </c>
      <c r="K557" s="53" t="s">
        <v>2269</v>
      </c>
      <c r="L557" s="53" t="s">
        <v>15</v>
      </c>
      <c r="M557" s="53" t="s">
        <v>15</v>
      </c>
      <c r="N557" s="53" t="s">
        <v>15</v>
      </c>
      <c r="O557" s="53" t="s">
        <v>15</v>
      </c>
    </row>
    <row r="558" spans="1:15" x14ac:dyDescent="0.25">
      <c r="A558" s="52" t="s">
        <v>4804</v>
      </c>
      <c r="B558" s="54" t="str">
        <f t="shared" si="8"/>
        <v>IC,,MAXIM,MAX3421,</v>
      </c>
      <c r="C558" s="53" t="s">
        <v>15</v>
      </c>
      <c r="D558" s="53" t="s">
        <v>15</v>
      </c>
      <c r="E558" s="53" t="s">
        <v>15</v>
      </c>
      <c r="F558" s="53" t="s">
        <v>15</v>
      </c>
      <c r="G558" s="53"/>
      <c r="H558" s="53" t="s">
        <v>1229</v>
      </c>
      <c r="I558" s="53" t="s">
        <v>2270</v>
      </c>
      <c r="J558" s="53" t="s">
        <v>15</v>
      </c>
      <c r="K558" s="53" t="s">
        <v>2271</v>
      </c>
      <c r="L558" s="53" t="s">
        <v>15</v>
      </c>
      <c r="M558" s="53" t="s">
        <v>15</v>
      </c>
      <c r="N558" s="53" t="s">
        <v>15</v>
      </c>
      <c r="O558" s="53" t="s">
        <v>15</v>
      </c>
    </row>
    <row r="559" spans="1:15" x14ac:dyDescent="0.25">
      <c r="A559" s="52" t="s">
        <v>4805</v>
      </c>
      <c r="B559" s="54" t="str">
        <f t="shared" si="8"/>
        <v>IC,,ROHM,BU2505FV-E2CT,</v>
      </c>
      <c r="C559" s="53" t="s">
        <v>15</v>
      </c>
      <c r="D559" s="53" t="s">
        <v>15</v>
      </c>
      <c r="E559" s="53" t="s">
        <v>15</v>
      </c>
      <c r="F559" s="53" t="s">
        <v>15</v>
      </c>
      <c r="G559" s="53"/>
      <c r="H559" s="53" t="s">
        <v>87</v>
      </c>
      <c r="I559" s="53" t="s">
        <v>2272</v>
      </c>
      <c r="J559" s="53" t="s">
        <v>15</v>
      </c>
      <c r="K559" s="53" t="s">
        <v>2273</v>
      </c>
      <c r="L559" s="53" t="s">
        <v>15</v>
      </c>
      <c r="M559" s="53" t="s">
        <v>15</v>
      </c>
      <c r="N559" s="53" t="s">
        <v>15</v>
      </c>
      <c r="O559" s="53" t="s">
        <v>15</v>
      </c>
    </row>
    <row r="560" spans="1:15" x14ac:dyDescent="0.25">
      <c r="A560" s="52" t="s">
        <v>4806</v>
      </c>
      <c r="B560" s="54" t="str">
        <f t="shared" si="8"/>
        <v>IC,RF,PRESCALER,FUJITSU,MB510PF,</v>
      </c>
      <c r="C560" s="53" t="s">
        <v>15</v>
      </c>
      <c r="D560" s="53" t="s">
        <v>15</v>
      </c>
      <c r="E560" s="53" t="s">
        <v>15</v>
      </c>
      <c r="F560" s="53" t="s">
        <v>15</v>
      </c>
      <c r="G560" s="53" t="s">
        <v>4952</v>
      </c>
      <c r="H560" s="53" t="s">
        <v>2274</v>
      </c>
      <c r="I560" s="53" t="s">
        <v>2275</v>
      </c>
      <c r="J560" s="53" t="s">
        <v>15</v>
      </c>
      <c r="K560" s="53" t="s">
        <v>2276</v>
      </c>
      <c r="L560" s="53" t="s">
        <v>15</v>
      </c>
      <c r="M560" s="53" t="s">
        <v>15</v>
      </c>
      <c r="N560" s="53" t="s">
        <v>15</v>
      </c>
      <c r="O560" s="53" t="s">
        <v>15</v>
      </c>
    </row>
    <row r="561" spans="1:15" x14ac:dyDescent="0.25">
      <c r="A561" s="52" t="s">
        <v>4807</v>
      </c>
      <c r="B561" s="54" t="str">
        <f t="shared" si="8"/>
        <v>IC,,LINEAR TECH,LT1058SW,</v>
      </c>
      <c r="C561" s="53" t="s">
        <v>15</v>
      </c>
      <c r="D561" s="53" t="s">
        <v>15</v>
      </c>
      <c r="E561" s="53" t="s">
        <v>15</v>
      </c>
      <c r="F561" s="53" t="s">
        <v>15</v>
      </c>
      <c r="G561" s="53"/>
      <c r="H561" s="53" t="s">
        <v>1626</v>
      </c>
      <c r="I561" s="53" t="s">
        <v>2277</v>
      </c>
      <c r="J561" s="53" t="s">
        <v>15</v>
      </c>
      <c r="K561" s="53" t="s">
        <v>2278</v>
      </c>
      <c r="L561" s="53" t="s">
        <v>15</v>
      </c>
      <c r="M561" s="53" t="s">
        <v>15</v>
      </c>
      <c r="N561" s="53" t="s">
        <v>15</v>
      </c>
      <c r="O561" s="53" t="s">
        <v>15</v>
      </c>
    </row>
    <row r="562" spans="1:15" x14ac:dyDescent="0.25">
      <c r="A562" s="52" t="s">
        <v>4808</v>
      </c>
      <c r="B562" s="54" t="str">
        <f t="shared" si="8"/>
        <v>IC,,ANALOG DEVICES,AD5680BRJZ-REEL7,</v>
      </c>
      <c r="C562" s="53" t="s">
        <v>15</v>
      </c>
      <c r="D562" s="53" t="s">
        <v>15</v>
      </c>
      <c r="E562" s="53" t="s">
        <v>15</v>
      </c>
      <c r="F562" s="53" t="s">
        <v>15</v>
      </c>
      <c r="G562" s="53"/>
      <c r="H562" s="53" t="s">
        <v>1240</v>
      </c>
      <c r="I562" s="53" t="s">
        <v>2279</v>
      </c>
      <c r="J562" s="53" t="s">
        <v>15</v>
      </c>
      <c r="K562" s="53" t="s">
        <v>2280</v>
      </c>
      <c r="L562" s="53" t="s">
        <v>15</v>
      </c>
      <c r="M562" s="53" t="s">
        <v>15</v>
      </c>
      <c r="N562" s="53" t="s">
        <v>15</v>
      </c>
      <c r="O562" s="53" t="s">
        <v>15</v>
      </c>
    </row>
    <row r="563" spans="1:15" x14ac:dyDescent="0.25">
      <c r="A563" s="52" t="s">
        <v>4809</v>
      </c>
      <c r="B563" s="54" t="str">
        <f t="shared" si="8"/>
        <v>IC,,,PACSZ1284-02QR,</v>
      </c>
      <c r="C563" s="53" t="s">
        <v>15</v>
      </c>
      <c r="D563" s="53" t="s">
        <v>15</v>
      </c>
      <c r="E563" s="53" t="s">
        <v>15</v>
      </c>
      <c r="F563" s="53" t="s">
        <v>15</v>
      </c>
      <c r="G563" s="53"/>
      <c r="H563" s="53" t="s">
        <v>15</v>
      </c>
      <c r="I563" s="53" t="s">
        <v>2281</v>
      </c>
      <c r="J563" s="53" t="s">
        <v>15</v>
      </c>
      <c r="K563" s="53" t="s">
        <v>2282</v>
      </c>
      <c r="L563" s="53" t="s">
        <v>15</v>
      </c>
      <c r="M563" s="53" t="s">
        <v>15</v>
      </c>
      <c r="N563" s="53" t="s">
        <v>15</v>
      </c>
      <c r="O563" s="53" t="s">
        <v>15</v>
      </c>
    </row>
    <row r="564" spans="1:15" x14ac:dyDescent="0.25">
      <c r="A564" s="52" t="s">
        <v>4810</v>
      </c>
      <c r="B564" s="54" t="str">
        <f t="shared" si="8"/>
        <v>IC,,HONEYWELL,HMC5883L,</v>
      </c>
      <c r="C564" s="53" t="s">
        <v>15</v>
      </c>
      <c r="D564" s="53" t="s">
        <v>15</v>
      </c>
      <c r="E564" s="53" t="s">
        <v>15</v>
      </c>
      <c r="F564" s="53" t="s">
        <v>15</v>
      </c>
      <c r="G564" s="53"/>
      <c r="H564" s="53" t="s">
        <v>2283</v>
      </c>
      <c r="I564" s="53" t="s">
        <v>2284</v>
      </c>
      <c r="J564" s="53" t="s">
        <v>15</v>
      </c>
      <c r="K564" s="53" t="s">
        <v>2285</v>
      </c>
      <c r="L564" s="53" t="s">
        <v>15</v>
      </c>
      <c r="M564" s="53" t="s">
        <v>15</v>
      </c>
      <c r="N564" s="53" t="s">
        <v>15</v>
      </c>
      <c r="O564" s="53" t="s">
        <v>15</v>
      </c>
    </row>
    <row r="565" spans="1:15" x14ac:dyDescent="0.25">
      <c r="A565" s="52" t="s">
        <v>4811</v>
      </c>
      <c r="B565" s="54" t="str">
        <f t="shared" si="8"/>
        <v>IC,TIMER,TI,LM555,SO8</v>
      </c>
      <c r="C565" s="53" t="s">
        <v>15</v>
      </c>
      <c r="D565" s="53" t="s">
        <v>15</v>
      </c>
      <c r="E565" s="53" t="s">
        <v>15</v>
      </c>
      <c r="F565" s="53" t="s">
        <v>15</v>
      </c>
      <c r="G565" s="53" t="s">
        <v>4962</v>
      </c>
      <c r="H565" s="53" t="s">
        <v>1145</v>
      </c>
      <c r="I565" s="53" t="s">
        <v>2286</v>
      </c>
      <c r="J565" s="53" t="s">
        <v>1147</v>
      </c>
      <c r="K565" s="53" t="s">
        <v>2287</v>
      </c>
      <c r="L565" s="53" t="s">
        <v>15</v>
      </c>
      <c r="M565" s="53" t="s">
        <v>15</v>
      </c>
      <c r="N565" s="53" t="s">
        <v>15</v>
      </c>
      <c r="O565" s="53" t="s">
        <v>15</v>
      </c>
    </row>
    <row r="566" spans="1:15" x14ac:dyDescent="0.25">
      <c r="A566" s="52" t="s">
        <v>4812</v>
      </c>
      <c r="B566" s="54" t="str">
        <f t="shared" si="8"/>
        <v>IC,MEMORY,SRAM,CYPRESS,CY62256-55,SO28</v>
      </c>
      <c r="C566" s="53" t="s">
        <v>15</v>
      </c>
      <c r="D566" s="53" t="s">
        <v>15</v>
      </c>
      <c r="E566" s="53" t="s">
        <v>15</v>
      </c>
      <c r="F566" s="53" t="s">
        <v>15</v>
      </c>
      <c r="G566" s="53" t="s">
        <v>4971</v>
      </c>
      <c r="H566" s="53" t="s">
        <v>1917</v>
      </c>
      <c r="I566" s="53" t="s">
        <v>2288</v>
      </c>
      <c r="J566" s="53" t="s">
        <v>1878</v>
      </c>
      <c r="K566" s="53" t="s">
        <v>2289</v>
      </c>
      <c r="L566" s="53" t="s">
        <v>15</v>
      </c>
      <c r="M566" s="53" t="s">
        <v>15</v>
      </c>
      <c r="N566" s="53" t="s">
        <v>15</v>
      </c>
      <c r="O566" s="53" t="s">
        <v>15</v>
      </c>
    </row>
    <row r="567" spans="1:15" x14ac:dyDescent="0.25">
      <c r="A567" s="52" t="s">
        <v>4813</v>
      </c>
      <c r="B567" s="54" t="str">
        <f t="shared" si="8"/>
        <v>IC,,ANALOG DEVICES,ADUM2250,</v>
      </c>
      <c r="C567" s="53" t="s">
        <v>15</v>
      </c>
      <c r="D567" s="53" t="s">
        <v>15</v>
      </c>
      <c r="E567" s="53" t="s">
        <v>15</v>
      </c>
      <c r="F567" s="53" t="s">
        <v>15</v>
      </c>
      <c r="G567" s="53"/>
      <c r="H567" s="53" t="s">
        <v>1240</v>
      </c>
      <c r="I567" s="53" t="s">
        <v>2290</v>
      </c>
      <c r="J567" s="53" t="s">
        <v>15</v>
      </c>
      <c r="K567" s="53" t="s">
        <v>2291</v>
      </c>
      <c r="L567" s="53" t="s">
        <v>15</v>
      </c>
      <c r="M567" s="53" t="s">
        <v>15</v>
      </c>
      <c r="N567" s="53" t="s">
        <v>15</v>
      </c>
      <c r="O567" s="53" t="s">
        <v>15</v>
      </c>
    </row>
    <row r="568" spans="1:15" x14ac:dyDescent="0.25">
      <c r="A568" s="52" t="s">
        <v>4814</v>
      </c>
      <c r="B568" s="54" t="str">
        <f t="shared" si="8"/>
        <v>IC,,,PR36MF22,</v>
      </c>
      <c r="C568" s="53" t="s">
        <v>15</v>
      </c>
      <c r="D568" s="53" t="s">
        <v>15</v>
      </c>
      <c r="E568" s="53" t="s">
        <v>15</v>
      </c>
      <c r="F568" s="53" t="s">
        <v>15</v>
      </c>
      <c r="G568" s="53"/>
      <c r="H568" s="53" t="s">
        <v>15</v>
      </c>
      <c r="I568" s="53" t="s">
        <v>2292</v>
      </c>
      <c r="J568" s="53" t="s">
        <v>15</v>
      </c>
      <c r="K568" s="53" t="s">
        <v>2293</v>
      </c>
      <c r="L568" s="53" t="s">
        <v>15</v>
      </c>
      <c r="M568" s="53" t="s">
        <v>15</v>
      </c>
      <c r="N568" s="53" t="s">
        <v>15</v>
      </c>
      <c r="O568" s="53" t="s">
        <v>15</v>
      </c>
    </row>
    <row r="569" spans="1:15" x14ac:dyDescent="0.25">
      <c r="A569" s="52" t="s">
        <v>4815</v>
      </c>
      <c r="B569" s="54" t="str">
        <f t="shared" si="8"/>
        <v>IC,OPAMP,QUAD,NATIONAL SEMI,LM324,SO14</v>
      </c>
      <c r="C569" s="53" t="s">
        <v>15</v>
      </c>
      <c r="D569" s="53" t="s">
        <v>15</v>
      </c>
      <c r="E569" s="53" t="s">
        <v>15</v>
      </c>
      <c r="F569" s="53" t="s">
        <v>15</v>
      </c>
      <c r="G569" s="53" t="s">
        <v>4020</v>
      </c>
      <c r="H569" s="53" t="s">
        <v>1995</v>
      </c>
      <c r="I569" s="53" t="s">
        <v>1672</v>
      </c>
      <c r="J569" s="53" t="s">
        <v>1194</v>
      </c>
      <c r="K569" s="53" t="s">
        <v>2294</v>
      </c>
      <c r="L569" s="53" t="s">
        <v>15</v>
      </c>
      <c r="M569" s="53" t="s">
        <v>15</v>
      </c>
      <c r="N569" s="53" t="s">
        <v>15</v>
      </c>
      <c r="O569" s="53" t="s">
        <v>15</v>
      </c>
    </row>
    <row r="570" spans="1:15" x14ac:dyDescent="0.25">
      <c r="A570" s="52" t="s">
        <v>4816</v>
      </c>
      <c r="B570" s="54" t="str">
        <f t="shared" si="8"/>
        <v>IC,,LINEAR TECH,LT1085CM-3.3,D2PAK</v>
      </c>
      <c r="C570" s="53" t="s">
        <v>15</v>
      </c>
      <c r="D570" s="53" t="s">
        <v>15</v>
      </c>
      <c r="E570" s="53" t="s">
        <v>15</v>
      </c>
      <c r="F570" s="53" t="s">
        <v>15</v>
      </c>
      <c r="G570" s="53"/>
      <c r="H570" s="53" t="s">
        <v>1626</v>
      </c>
      <c r="I570" s="53" t="s">
        <v>2295</v>
      </c>
      <c r="J570" s="53" t="s">
        <v>2296</v>
      </c>
      <c r="K570" s="53" t="s">
        <v>2297</v>
      </c>
      <c r="L570" s="53" t="s">
        <v>15</v>
      </c>
      <c r="M570" s="53" t="s">
        <v>15</v>
      </c>
      <c r="N570" s="53" t="s">
        <v>15</v>
      </c>
      <c r="O570" s="53" t="s">
        <v>15</v>
      </c>
    </row>
    <row r="571" spans="1:15" x14ac:dyDescent="0.25">
      <c r="A571" s="52" t="s">
        <v>4817</v>
      </c>
      <c r="B571" s="54" t="str">
        <f t="shared" si="8"/>
        <v>IC,,NATIONAL,74LVC4245,SO</v>
      </c>
      <c r="C571" s="53" t="s">
        <v>15</v>
      </c>
      <c r="D571" s="53" t="s">
        <v>15</v>
      </c>
      <c r="E571" s="53" t="s">
        <v>15</v>
      </c>
      <c r="F571" s="53" t="s">
        <v>15</v>
      </c>
      <c r="G571" s="53"/>
      <c r="H571" s="53" t="s">
        <v>1556</v>
      </c>
      <c r="I571" s="53" t="s">
        <v>2298</v>
      </c>
      <c r="J571" s="53" t="s">
        <v>1845</v>
      </c>
      <c r="K571" s="53" t="s">
        <v>2299</v>
      </c>
      <c r="L571" s="53" t="s">
        <v>15</v>
      </c>
      <c r="M571" s="53" t="s">
        <v>15</v>
      </c>
      <c r="N571" s="53" t="s">
        <v>15</v>
      </c>
      <c r="O571" s="53" t="s">
        <v>15</v>
      </c>
    </row>
    <row r="572" spans="1:15" x14ac:dyDescent="0.25">
      <c r="A572" s="52" t="s">
        <v>4818</v>
      </c>
      <c r="B572" s="54" t="str">
        <f t="shared" si="8"/>
        <v>IC,,TI,INA196AI,SOT</v>
      </c>
      <c r="C572" s="53" t="s">
        <v>15</v>
      </c>
      <c r="D572" s="53" t="s">
        <v>15</v>
      </c>
      <c r="E572" s="53" t="s">
        <v>15</v>
      </c>
      <c r="F572" s="53" t="s">
        <v>15</v>
      </c>
      <c r="G572" s="53"/>
      <c r="H572" s="53" t="s">
        <v>1145</v>
      </c>
      <c r="I572" s="53" t="s">
        <v>2300</v>
      </c>
      <c r="J572" s="53" t="s">
        <v>2301</v>
      </c>
      <c r="K572" s="53" t="s">
        <v>2302</v>
      </c>
      <c r="L572" s="53" t="s">
        <v>15</v>
      </c>
      <c r="M572" s="53" t="s">
        <v>15</v>
      </c>
      <c r="N572" s="53" t="s">
        <v>15</v>
      </c>
      <c r="O572" s="53" t="s">
        <v>15</v>
      </c>
    </row>
    <row r="573" spans="1:15" x14ac:dyDescent="0.25">
      <c r="A573" s="52" t="s">
        <v>4819</v>
      </c>
      <c r="B573" s="54" t="str">
        <f t="shared" si="8"/>
        <v>IC,,MAXIM,MX7226,SO</v>
      </c>
      <c r="C573" s="53" t="s">
        <v>15</v>
      </c>
      <c r="D573" s="53" t="s">
        <v>15</v>
      </c>
      <c r="E573" s="53" t="s">
        <v>15</v>
      </c>
      <c r="F573" s="53" t="s">
        <v>15</v>
      </c>
      <c r="G573" s="53"/>
      <c r="H573" s="53" t="s">
        <v>1229</v>
      </c>
      <c r="I573" s="53" t="s">
        <v>2303</v>
      </c>
      <c r="J573" s="53" t="s">
        <v>1845</v>
      </c>
      <c r="K573" s="53" t="s">
        <v>2304</v>
      </c>
      <c r="L573" s="53" t="s">
        <v>15</v>
      </c>
      <c r="M573" s="53" t="s">
        <v>15</v>
      </c>
      <c r="N573" s="53" t="s">
        <v>15</v>
      </c>
      <c r="O573" s="53" t="s">
        <v>15</v>
      </c>
    </row>
    <row r="574" spans="1:15" x14ac:dyDescent="0.25">
      <c r="A574" s="52" t="s">
        <v>4820</v>
      </c>
      <c r="B574" s="54" t="str">
        <f t="shared" si="8"/>
        <v>IC,,TI,TUSB3410,</v>
      </c>
      <c r="C574" s="53" t="s">
        <v>15</v>
      </c>
      <c r="D574" s="53" t="s">
        <v>15</v>
      </c>
      <c r="E574" s="53" t="s">
        <v>15</v>
      </c>
      <c r="F574" s="53" t="s">
        <v>15</v>
      </c>
      <c r="G574" s="53"/>
      <c r="H574" s="53" t="s">
        <v>1145</v>
      </c>
      <c r="I574" s="53" t="s">
        <v>2305</v>
      </c>
      <c r="J574" s="53" t="s">
        <v>15</v>
      </c>
      <c r="K574" s="53" t="s">
        <v>2306</v>
      </c>
      <c r="L574" s="53" t="s">
        <v>15</v>
      </c>
      <c r="M574" s="53" t="s">
        <v>15</v>
      </c>
      <c r="N574" s="53" t="s">
        <v>15</v>
      </c>
      <c r="O574" s="53" t="s">
        <v>15</v>
      </c>
    </row>
    <row r="575" spans="1:15" x14ac:dyDescent="0.25">
      <c r="A575" s="52" t="s">
        <v>4821</v>
      </c>
      <c r="B575" s="54" t="str">
        <f t="shared" si="8"/>
        <v>IC,,NATIONAL,LM4040D20,</v>
      </c>
      <c r="C575" s="53" t="s">
        <v>15</v>
      </c>
      <c r="D575" s="53" t="s">
        <v>15</v>
      </c>
      <c r="E575" s="53" t="s">
        <v>15</v>
      </c>
      <c r="F575" s="53" t="s">
        <v>15</v>
      </c>
      <c r="G575" s="53"/>
      <c r="H575" s="53" t="s">
        <v>1556</v>
      </c>
      <c r="I575" s="53" t="s">
        <v>2307</v>
      </c>
      <c r="J575" s="53" t="s">
        <v>15</v>
      </c>
      <c r="K575" s="53" t="s">
        <v>2308</v>
      </c>
      <c r="L575" s="53" t="s">
        <v>15</v>
      </c>
      <c r="M575" s="53" t="s">
        <v>15</v>
      </c>
      <c r="N575" s="53" t="s">
        <v>15</v>
      </c>
      <c r="O575" s="53" t="s">
        <v>15</v>
      </c>
    </row>
    <row r="576" spans="1:15" x14ac:dyDescent="0.25">
      <c r="A576" s="52" t="s">
        <v>4822</v>
      </c>
      <c r="B576" s="54" t="str">
        <f t="shared" si="8"/>
        <v>IC,,MAXIM,MAX1619,SSOP</v>
      </c>
      <c r="C576" s="53" t="s">
        <v>15</v>
      </c>
      <c r="D576" s="53" t="s">
        <v>15</v>
      </c>
      <c r="E576" s="53" t="s">
        <v>15</v>
      </c>
      <c r="F576" s="53" t="s">
        <v>15</v>
      </c>
      <c r="G576" s="53"/>
      <c r="H576" s="53" t="s">
        <v>1229</v>
      </c>
      <c r="I576" s="53" t="s">
        <v>2309</v>
      </c>
      <c r="J576" s="53" t="s">
        <v>2310</v>
      </c>
      <c r="K576" s="53" t="s">
        <v>2311</v>
      </c>
      <c r="L576" s="53" t="s">
        <v>15</v>
      </c>
      <c r="M576" s="53" t="s">
        <v>15</v>
      </c>
      <c r="N576" s="53" t="s">
        <v>15</v>
      </c>
      <c r="O576" s="53" t="s">
        <v>15</v>
      </c>
    </row>
    <row r="577" spans="1:15" x14ac:dyDescent="0.25">
      <c r="A577" s="52" t="s">
        <v>4823</v>
      </c>
      <c r="B577" s="54" t="str">
        <f t="shared" si="8"/>
        <v>IC,,TI,USB2514B,</v>
      </c>
      <c r="C577" s="53" t="s">
        <v>15</v>
      </c>
      <c r="D577" s="53" t="s">
        <v>15</v>
      </c>
      <c r="E577" s="53" t="s">
        <v>15</v>
      </c>
      <c r="F577" s="53" t="s">
        <v>15</v>
      </c>
      <c r="G577" s="53"/>
      <c r="H577" s="53" t="s">
        <v>1145</v>
      </c>
      <c r="I577" s="53" t="s">
        <v>2312</v>
      </c>
      <c r="J577" s="53" t="s">
        <v>15</v>
      </c>
      <c r="K577" s="53" t="s">
        <v>2313</v>
      </c>
      <c r="L577" s="53" t="s">
        <v>15</v>
      </c>
      <c r="M577" s="53" t="s">
        <v>15</v>
      </c>
      <c r="N577" s="53" t="s">
        <v>15</v>
      </c>
      <c r="O577" s="53" t="s">
        <v>15</v>
      </c>
    </row>
    <row r="578" spans="1:15" x14ac:dyDescent="0.25">
      <c r="A578" s="52" t="s">
        <v>4824</v>
      </c>
      <c r="B578" s="54" t="str">
        <f t="shared" si="8"/>
        <v>IC,,NATIONAL,ADC121S021,</v>
      </c>
      <c r="C578" s="53" t="s">
        <v>15</v>
      </c>
      <c r="D578" s="53" t="s">
        <v>15</v>
      </c>
      <c r="E578" s="53" t="s">
        <v>15</v>
      </c>
      <c r="F578" s="53" t="s">
        <v>15</v>
      </c>
      <c r="G578" s="53"/>
      <c r="H578" s="53" t="s">
        <v>1556</v>
      </c>
      <c r="I578" s="53" t="s">
        <v>2314</v>
      </c>
      <c r="J578" s="53" t="s">
        <v>15</v>
      </c>
      <c r="K578" s="53" t="s">
        <v>2315</v>
      </c>
      <c r="L578" s="53" t="s">
        <v>15</v>
      </c>
      <c r="M578" s="53" t="s">
        <v>15</v>
      </c>
      <c r="N578" s="53" t="s">
        <v>15</v>
      </c>
      <c r="O578" s="53" t="s">
        <v>15</v>
      </c>
    </row>
    <row r="579" spans="1:15" x14ac:dyDescent="0.25">
      <c r="A579" s="52" t="s">
        <v>4825</v>
      </c>
      <c r="B579" s="54" t="str">
        <f t="shared" ref="B579:B642" si="9">_xlfn.CONCAT("IC,",G579,",",H579,",",I579,",",J579)</f>
        <v>IC,COMPARATOR,QUAD,NATIONAL,LM339,SO14</v>
      </c>
      <c r="C579" s="53" t="s">
        <v>15</v>
      </c>
      <c r="D579" s="53" t="s">
        <v>15</v>
      </c>
      <c r="E579" s="53" t="s">
        <v>15</v>
      </c>
      <c r="F579" s="53" t="s">
        <v>15</v>
      </c>
      <c r="G579" s="53" t="s">
        <v>4972</v>
      </c>
      <c r="H579" s="53" t="s">
        <v>1556</v>
      </c>
      <c r="I579" s="53" t="s">
        <v>1485</v>
      </c>
      <c r="J579" s="53" t="s">
        <v>1194</v>
      </c>
      <c r="K579" s="53" t="s">
        <v>2316</v>
      </c>
      <c r="L579" s="53" t="s">
        <v>15</v>
      </c>
      <c r="M579" s="53" t="s">
        <v>15</v>
      </c>
      <c r="N579" s="53" t="s">
        <v>15</v>
      </c>
      <c r="O579" s="53" t="s">
        <v>15</v>
      </c>
    </row>
    <row r="580" spans="1:15" x14ac:dyDescent="0.25">
      <c r="A580" s="52" t="s">
        <v>4826</v>
      </c>
      <c r="B580" s="54" t="str">
        <f t="shared" si="9"/>
        <v>IC,,FAIRCHILD,74HC148,SO16</v>
      </c>
      <c r="C580" s="53" t="s">
        <v>15</v>
      </c>
      <c r="D580" s="53" t="s">
        <v>15</v>
      </c>
      <c r="E580" s="53" t="s">
        <v>15</v>
      </c>
      <c r="F580" s="53" t="s">
        <v>15</v>
      </c>
      <c r="G580" s="53"/>
      <c r="H580" s="53" t="s">
        <v>764</v>
      </c>
      <c r="I580" s="53" t="s">
        <v>1753</v>
      </c>
      <c r="J580" s="53" t="s">
        <v>1261</v>
      </c>
      <c r="K580" s="53" t="s">
        <v>2317</v>
      </c>
      <c r="L580" s="53" t="s">
        <v>15</v>
      </c>
      <c r="M580" s="53" t="s">
        <v>15</v>
      </c>
      <c r="N580" s="53" t="s">
        <v>15</v>
      </c>
      <c r="O580" s="53" t="s">
        <v>15</v>
      </c>
    </row>
    <row r="581" spans="1:15" x14ac:dyDescent="0.25">
      <c r="A581" s="52" t="s">
        <v>4827</v>
      </c>
      <c r="B581" s="54" t="str">
        <f t="shared" si="9"/>
        <v>IC,,MAXIM,MAX496,SO</v>
      </c>
      <c r="C581" s="53" t="s">
        <v>15</v>
      </c>
      <c r="D581" s="53" t="s">
        <v>15</v>
      </c>
      <c r="E581" s="53" t="s">
        <v>15</v>
      </c>
      <c r="F581" s="53" t="s">
        <v>15</v>
      </c>
      <c r="G581" s="53"/>
      <c r="H581" s="53" t="s">
        <v>1229</v>
      </c>
      <c r="I581" s="53" t="s">
        <v>2318</v>
      </c>
      <c r="J581" s="53" t="s">
        <v>1845</v>
      </c>
      <c r="K581" s="53" t="s">
        <v>2319</v>
      </c>
      <c r="L581" s="53" t="s">
        <v>15</v>
      </c>
      <c r="M581" s="53" t="s">
        <v>15</v>
      </c>
      <c r="N581" s="53" t="s">
        <v>15</v>
      </c>
      <c r="O581" s="53" t="s">
        <v>15</v>
      </c>
    </row>
    <row r="582" spans="1:15" x14ac:dyDescent="0.25">
      <c r="A582" s="52" t="s">
        <v>4828</v>
      </c>
      <c r="B582" s="54" t="str">
        <f t="shared" si="9"/>
        <v>IC,,ST,74HC138,SO16</v>
      </c>
      <c r="C582" s="53" t="s">
        <v>15</v>
      </c>
      <c r="D582" s="53" t="s">
        <v>15</v>
      </c>
      <c r="E582" s="53" t="s">
        <v>15</v>
      </c>
      <c r="F582" s="53" t="s">
        <v>15</v>
      </c>
      <c r="G582" s="53"/>
      <c r="H582" s="53" t="s">
        <v>807</v>
      </c>
      <c r="I582" s="53" t="s">
        <v>1707</v>
      </c>
      <c r="J582" s="53" t="s">
        <v>1261</v>
      </c>
      <c r="K582" s="53" t="s">
        <v>2320</v>
      </c>
      <c r="L582" s="53" t="s">
        <v>15</v>
      </c>
      <c r="M582" s="53" t="s">
        <v>15</v>
      </c>
      <c r="N582" s="53" t="s">
        <v>15</v>
      </c>
      <c r="O582" s="53" t="s">
        <v>15</v>
      </c>
    </row>
    <row r="583" spans="1:15" x14ac:dyDescent="0.25">
      <c r="A583" s="52" t="s">
        <v>4829</v>
      </c>
      <c r="B583" s="54" t="str">
        <f t="shared" si="9"/>
        <v>IC,,ST,74HC04,SO14</v>
      </c>
      <c r="C583" s="53" t="s">
        <v>15</v>
      </c>
      <c r="D583" s="53" t="s">
        <v>15</v>
      </c>
      <c r="E583" s="53" t="s">
        <v>15</v>
      </c>
      <c r="F583" s="53" t="s">
        <v>15</v>
      </c>
      <c r="G583" s="53"/>
      <c r="H583" s="53" t="s">
        <v>807</v>
      </c>
      <c r="I583" s="53" t="s">
        <v>1712</v>
      </c>
      <c r="J583" s="53" t="s">
        <v>1194</v>
      </c>
      <c r="K583" s="53" t="s">
        <v>2321</v>
      </c>
      <c r="L583" s="53" t="s">
        <v>15</v>
      </c>
      <c r="M583" s="53" t="s">
        <v>15</v>
      </c>
      <c r="N583" s="53" t="s">
        <v>15</v>
      </c>
      <c r="O583" s="53" t="s">
        <v>15</v>
      </c>
    </row>
    <row r="584" spans="1:15" x14ac:dyDescent="0.25">
      <c r="A584" s="52" t="s">
        <v>4830</v>
      </c>
      <c r="B584" s="54" t="str">
        <f t="shared" si="9"/>
        <v>IC,,ST,74HC08,</v>
      </c>
      <c r="C584" s="53" t="s">
        <v>15</v>
      </c>
      <c r="D584" s="53" t="s">
        <v>15</v>
      </c>
      <c r="E584" s="53" t="s">
        <v>15</v>
      </c>
      <c r="F584" s="53" t="s">
        <v>15</v>
      </c>
      <c r="G584" s="53"/>
      <c r="H584" s="53" t="s">
        <v>807</v>
      </c>
      <c r="I584" s="53" t="s">
        <v>1714</v>
      </c>
      <c r="J584" s="53" t="s">
        <v>15</v>
      </c>
      <c r="K584" s="53" t="s">
        <v>2322</v>
      </c>
      <c r="L584" s="53" t="s">
        <v>15</v>
      </c>
      <c r="M584" s="53" t="s">
        <v>15</v>
      </c>
      <c r="N584" s="53" t="s">
        <v>15</v>
      </c>
      <c r="O584" s="53" t="s">
        <v>15</v>
      </c>
    </row>
    <row r="585" spans="1:15" x14ac:dyDescent="0.25">
      <c r="A585" s="52" t="s">
        <v>4831</v>
      </c>
      <c r="B585" s="54" t="str">
        <f t="shared" si="9"/>
        <v>IC,,NXP,74HCT00,</v>
      </c>
      <c r="C585" s="53" t="s">
        <v>15</v>
      </c>
      <c r="D585" s="53" t="s">
        <v>15</v>
      </c>
      <c r="E585" s="53" t="s">
        <v>15</v>
      </c>
      <c r="F585" s="53" t="s">
        <v>15</v>
      </c>
      <c r="G585" s="53"/>
      <c r="H585" s="53" t="s">
        <v>699</v>
      </c>
      <c r="I585" s="53" t="s">
        <v>1356</v>
      </c>
      <c r="J585" s="53" t="s">
        <v>15</v>
      </c>
      <c r="K585" s="53" t="s">
        <v>2323</v>
      </c>
      <c r="L585" s="53" t="s">
        <v>15</v>
      </c>
      <c r="M585" s="53" t="s">
        <v>15</v>
      </c>
      <c r="N585" s="53" t="s">
        <v>15</v>
      </c>
      <c r="O585" s="53" t="s">
        <v>15</v>
      </c>
    </row>
    <row r="586" spans="1:15" x14ac:dyDescent="0.25">
      <c r="A586" s="52" t="s">
        <v>4832</v>
      </c>
      <c r="B586" s="54" t="str">
        <f t="shared" si="9"/>
        <v>IC,,ST,74HC00,</v>
      </c>
      <c r="C586" s="53" t="s">
        <v>15</v>
      </c>
      <c r="D586" s="53" t="s">
        <v>15</v>
      </c>
      <c r="E586" s="53" t="s">
        <v>15</v>
      </c>
      <c r="F586" s="53" t="s">
        <v>15</v>
      </c>
      <c r="G586" s="53"/>
      <c r="H586" s="53" t="s">
        <v>807</v>
      </c>
      <c r="I586" s="53" t="s">
        <v>1697</v>
      </c>
      <c r="J586" s="53" t="s">
        <v>15</v>
      </c>
      <c r="K586" s="53" t="s">
        <v>2324</v>
      </c>
      <c r="L586" s="53" t="s">
        <v>15</v>
      </c>
      <c r="M586" s="53" t="s">
        <v>15</v>
      </c>
      <c r="N586" s="53" t="s">
        <v>15</v>
      </c>
      <c r="O586" s="53" t="s">
        <v>15</v>
      </c>
    </row>
    <row r="587" spans="1:15" x14ac:dyDescent="0.25">
      <c r="A587" s="52" t="s">
        <v>4833</v>
      </c>
      <c r="B587" s="54" t="str">
        <f t="shared" si="9"/>
        <v>IC,,NATIONAL,LM3914,DIP</v>
      </c>
      <c r="C587" s="53" t="s">
        <v>15</v>
      </c>
      <c r="D587" s="53" t="s">
        <v>15</v>
      </c>
      <c r="E587" s="53" t="s">
        <v>15</v>
      </c>
      <c r="F587" s="53" t="s">
        <v>15</v>
      </c>
      <c r="G587" s="53"/>
      <c r="H587" s="53" t="s">
        <v>1556</v>
      </c>
      <c r="I587" s="53" t="s">
        <v>1683</v>
      </c>
      <c r="J587" s="53" t="s">
        <v>2325</v>
      </c>
      <c r="K587" s="53" t="s">
        <v>2326</v>
      </c>
      <c r="L587" s="53" t="s">
        <v>15</v>
      </c>
      <c r="M587" s="53" t="s">
        <v>15</v>
      </c>
      <c r="N587" s="53" t="s">
        <v>15</v>
      </c>
      <c r="O587" s="53" t="s">
        <v>15</v>
      </c>
    </row>
    <row r="588" spans="1:15" x14ac:dyDescent="0.25">
      <c r="A588" s="52" t="s">
        <v>4834</v>
      </c>
      <c r="B588" s="54" t="str">
        <f t="shared" si="9"/>
        <v>IC,,CALOGIC,CA5010LT,</v>
      </c>
      <c r="C588" s="53" t="s">
        <v>15</v>
      </c>
      <c r="D588" s="53" t="s">
        <v>15</v>
      </c>
      <c r="E588" s="53" t="s">
        <v>15</v>
      </c>
      <c r="F588" s="53" t="s">
        <v>15</v>
      </c>
      <c r="G588" s="53"/>
      <c r="H588" s="53" t="s">
        <v>2327</v>
      </c>
      <c r="I588" s="53" t="s">
        <v>2328</v>
      </c>
      <c r="J588" s="53" t="s">
        <v>15</v>
      </c>
      <c r="K588" s="53" t="s">
        <v>2329</v>
      </c>
      <c r="L588" s="53" t="s">
        <v>15</v>
      </c>
      <c r="M588" s="53" t="s">
        <v>15</v>
      </c>
      <c r="N588" s="53" t="s">
        <v>15</v>
      </c>
      <c r="O588" s="53" t="s">
        <v>15</v>
      </c>
    </row>
    <row r="589" spans="1:15" x14ac:dyDescent="0.25">
      <c r="A589" s="52" t="s">
        <v>4835</v>
      </c>
      <c r="B589" s="54" t="str">
        <f t="shared" si="9"/>
        <v>IC,,ST,74HC74,</v>
      </c>
      <c r="C589" s="53" t="s">
        <v>15</v>
      </c>
      <c r="D589" s="53" t="s">
        <v>15</v>
      </c>
      <c r="E589" s="53" t="s">
        <v>15</v>
      </c>
      <c r="F589" s="53" t="s">
        <v>15</v>
      </c>
      <c r="G589" s="53"/>
      <c r="H589" s="53" t="s">
        <v>807</v>
      </c>
      <c r="I589" s="53" t="s">
        <v>1383</v>
      </c>
      <c r="J589" s="53" t="s">
        <v>15</v>
      </c>
      <c r="K589" s="53" t="s">
        <v>2330</v>
      </c>
      <c r="L589" s="53" t="s">
        <v>15</v>
      </c>
      <c r="M589" s="53" t="s">
        <v>15</v>
      </c>
      <c r="N589" s="53" t="s">
        <v>15</v>
      </c>
      <c r="O589" s="53" t="s">
        <v>15</v>
      </c>
    </row>
    <row r="590" spans="1:15" x14ac:dyDescent="0.25">
      <c r="A590" s="52" t="s">
        <v>4836</v>
      </c>
      <c r="B590" s="54" t="str">
        <f t="shared" si="9"/>
        <v>IC,,ST,74HC32,</v>
      </c>
      <c r="C590" s="53" t="s">
        <v>15</v>
      </c>
      <c r="D590" s="53" t="s">
        <v>15</v>
      </c>
      <c r="E590" s="53" t="s">
        <v>15</v>
      </c>
      <c r="F590" s="53" t="s">
        <v>15</v>
      </c>
      <c r="G590" s="53"/>
      <c r="H590" s="53" t="s">
        <v>807</v>
      </c>
      <c r="I590" s="53" t="s">
        <v>1719</v>
      </c>
      <c r="J590" s="53" t="s">
        <v>15</v>
      </c>
      <c r="K590" s="53" t="s">
        <v>2331</v>
      </c>
      <c r="L590" s="53" t="s">
        <v>15</v>
      </c>
      <c r="M590" s="53" t="s">
        <v>15</v>
      </c>
      <c r="N590" s="53" t="s">
        <v>15</v>
      </c>
      <c r="O590" s="53" t="s">
        <v>15</v>
      </c>
    </row>
    <row r="591" spans="1:15" x14ac:dyDescent="0.25">
      <c r="A591" s="52" t="s">
        <v>4837</v>
      </c>
      <c r="B591" s="54" t="str">
        <f t="shared" si="9"/>
        <v>IC,,,ADG409,</v>
      </c>
      <c r="C591" s="53" t="s">
        <v>15</v>
      </c>
      <c r="D591" s="53" t="s">
        <v>15</v>
      </c>
      <c r="E591" s="53" t="s">
        <v>15</v>
      </c>
      <c r="F591" s="53" t="s">
        <v>15</v>
      </c>
      <c r="G591" s="53"/>
      <c r="H591" s="53" t="s">
        <v>15</v>
      </c>
      <c r="I591" s="53" t="s">
        <v>2332</v>
      </c>
      <c r="J591" s="53" t="s">
        <v>15</v>
      </c>
      <c r="K591" s="53" t="s">
        <v>2333</v>
      </c>
      <c r="L591" s="53" t="s">
        <v>15</v>
      </c>
      <c r="M591" s="53" t="s">
        <v>15</v>
      </c>
      <c r="N591" s="53" t="s">
        <v>15</v>
      </c>
      <c r="O591" s="53" t="s">
        <v>15</v>
      </c>
    </row>
    <row r="592" spans="1:15" x14ac:dyDescent="0.25">
      <c r="A592" s="52" t="s">
        <v>4838</v>
      </c>
      <c r="B592" s="54" t="str">
        <f t="shared" si="9"/>
        <v>IC,,MAXIM,MAX509,SOW</v>
      </c>
      <c r="C592" s="53" t="s">
        <v>15</v>
      </c>
      <c r="D592" s="53" t="s">
        <v>15</v>
      </c>
      <c r="E592" s="53" t="s">
        <v>15</v>
      </c>
      <c r="F592" s="53" t="s">
        <v>15</v>
      </c>
      <c r="G592" s="53"/>
      <c r="H592" s="53" t="s">
        <v>1229</v>
      </c>
      <c r="I592" s="53" t="s">
        <v>2334</v>
      </c>
      <c r="J592" s="53" t="s">
        <v>2335</v>
      </c>
      <c r="K592" s="53" t="s">
        <v>2336</v>
      </c>
      <c r="L592" s="53" t="s">
        <v>15</v>
      </c>
      <c r="M592" s="53" t="s">
        <v>15</v>
      </c>
      <c r="N592" s="53" t="s">
        <v>15</v>
      </c>
      <c r="O592" s="53" t="s">
        <v>15</v>
      </c>
    </row>
    <row r="593" spans="1:15" x14ac:dyDescent="0.25">
      <c r="A593" s="52" t="s">
        <v>4839</v>
      </c>
      <c r="B593" s="54" t="str">
        <f t="shared" si="9"/>
        <v>IC,,PHILIPS,74LV00,</v>
      </c>
      <c r="C593" s="53" t="s">
        <v>15</v>
      </c>
      <c r="D593" s="53" t="s">
        <v>15</v>
      </c>
      <c r="E593" s="53" t="s">
        <v>15</v>
      </c>
      <c r="F593" s="53" t="s">
        <v>15</v>
      </c>
      <c r="G593" s="53"/>
      <c r="H593" s="53" t="s">
        <v>1817</v>
      </c>
      <c r="I593" s="53" t="s">
        <v>2337</v>
      </c>
      <c r="J593" s="53" t="s">
        <v>15</v>
      </c>
      <c r="K593" s="53" t="s">
        <v>2338</v>
      </c>
      <c r="L593" s="53" t="s">
        <v>15</v>
      </c>
      <c r="M593" s="53" t="s">
        <v>15</v>
      </c>
      <c r="N593" s="53" t="s">
        <v>15</v>
      </c>
      <c r="O593" s="53" t="s">
        <v>15</v>
      </c>
    </row>
    <row r="594" spans="1:15" x14ac:dyDescent="0.25">
      <c r="A594" s="52" t="s">
        <v>4840</v>
      </c>
      <c r="B594" s="54" t="str">
        <f t="shared" si="9"/>
        <v>IC,,TOSHIBA,ULN2803,SO18W</v>
      </c>
      <c r="C594" s="53" t="s">
        <v>15</v>
      </c>
      <c r="D594" s="53" t="s">
        <v>15</v>
      </c>
      <c r="E594" s="53" t="s">
        <v>15</v>
      </c>
      <c r="F594" s="53" t="s">
        <v>15</v>
      </c>
      <c r="G594" s="53"/>
      <c r="H594" s="53" t="s">
        <v>1021</v>
      </c>
      <c r="I594" s="53" t="s">
        <v>1463</v>
      </c>
      <c r="J594" s="53" t="s">
        <v>1464</v>
      </c>
      <c r="K594" s="53" t="s">
        <v>2339</v>
      </c>
      <c r="L594" s="53" t="s">
        <v>15</v>
      </c>
      <c r="M594" s="53" t="s">
        <v>15</v>
      </c>
      <c r="N594" s="53" t="s">
        <v>15</v>
      </c>
      <c r="O594" s="53" t="s">
        <v>15</v>
      </c>
    </row>
    <row r="595" spans="1:15" x14ac:dyDescent="0.25">
      <c r="A595" s="52" t="s">
        <v>4841</v>
      </c>
      <c r="B595" s="54" t="str">
        <f t="shared" si="9"/>
        <v>IC,,TI,74HC373,SO20W</v>
      </c>
      <c r="C595" s="53" t="s">
        <v>15</v>
      </c>
      <c r="D595" s="53" t="s">
        <v>15</v>
      </c>
      <c r="E595" s="53" t="s">
        <v>15</v>
      </c>
      <c r="F595" s="53" t="s">
        <v>15</v>
      </c>
      <c r="G595" s="53"/>
      <c r="H595" s="53" t="s">
        <v>1145</v>
      </c>
      <c r="I595" s="53" t="s">
        <v>1711</v>
      </c>
      <c r="J595" s="53" t="s">
        <v>1344</v>
      </c>
      <c r="K595" s="53" t="s">
        <v>2340</v>
      </c>
      <c r="L595" s="53" t="s">
        <v>15</v>
      </c>
      <c r="M595" s="53" t="s">
        <v>15</v>
      </c>
      <c r="N595" s="53" t="s">
        <v>15</v>
      </c>
      <c r="O595" s="53" t="s">
        <v>15</v>
      </c>
    </row>
    <row r="596" spans="1:15" x14ac:dyDescent="0.25">
      <c r="A596" s="52" t="s">
        <v>4842</v>
      </c>
      <c r="B596" s="54" t="str">
        <f t="shared" si="9"/>
        <v>IC,,TI,74HCT244,SO20W</v>
      </c>
      <c r="C596" s="53" t="s">
        <v>15</v>
      </c>
      <c r="D596" s="53" t="s">
        <v>15</v>
      </c>
      <c r="E596" s="53" t="s">
        <v>15</v>
      </c>
      <c r="F596" s="53" t="s">
        <v>15</v>
      </c>
      <c r="G596" s="53"/>
      <c r="H596" s="53" t="s">
        <v>1145</v>
      </c>
      <c r="I596" s="53" t="s">
        <v>1346</v>
      </c>
      <c r="J596" s="53" t="s">
        <v>1344</v>
      </c>
      <c r="K596" s="53" t="s">
        <v>2341</v>
      </c>
      <c r="L596" s="53" t="s">
        <v>15</v>
      </c>
      <c r="M596" s="53" t="s">
        <v>15</v>
      </c>
      <c r="N596" s="53" t="s">
        <v>15</v>
      </c>
      <c r="O596" s="53" t="s">
        <v>15</v>
      </c>
    </row>
    <row r="597" spans="1:15" x14ac:dyDescent="0.25">
      <c r="A597" s="52" t="s">
        <v>4843</v>
      </c>
      <c r="B597" s="54" t="str">
        <f t="shared" si="9"/>
        <v>IC,,ST,74HC574,SO20W</v>
      </c>
      <c r="C597" s="53" t="s">
        <v>15</v>
      </c>
      <c r="D597" s="53" t="s">
        <v>15</v>
      </c>
      <c r="E597" s="53" t="s">
        <v>15</v>
      </c>
      <c r="F597" s="53" t="s">
        <v>15</v>
      </c>
      <c r="G597" s="53"/>
      <c r="H597" s="53" t="s">
        <v>807</v>
      </c>
      <c r="I597" s="53" t="s">
        <v>1890</v>
      </c>
      <c r="J597" s="53" t="s">
        <v>1344</v>
      </c>
      <c r="K597" s="53" t="s">
        <v>2342</v>
      </c>
      <c r="L597" s="53" t="s">
        <v>15</v>
      </c>
      <c r="M597" s="53" t="s">
        <v>15</v>
      </c>
      <c r="N597" s="53" t="s">
        <v>15</v>
      </c>
      <c r="O597" s="53" t="s">
        <v>15</v>
      </c>
    </row>
    <row r="598" spans="1:15" x14ac:dyDescent="0.25">
      <c r="A598" s="52" t="s">
        <v>4844</v>
      </c>
      <c r="B598" s="54" t="str">
        <f t="shared" si="9"/>
        <v>IC,,ST,74HC573,SO20W</v>
      </c>
      <c r="C598" s="53" t="s">
        <v>15</v>
      </c>
      <c r="D598" s="53" t="s">
        <v>15</v>
      </c>
      <c r="E598" s="53" t="s">
        <v>15</v>
      </c>
      <c r="F598" s="53" t="s">
        <v>15</v>
      </c>
      <c r="G598" s="53"/>
      <c r="H598" s="53" t="s">
        <v>807</v>
      </c>
      <c r="I598" s="53" t="s">
        <v>1357</v>
      </c>
      <c r="J598" s="53" t="s">
        <v>1344</v>
      </c>
      <c r="K598" s="53" t="s">
        <v>2343</v>
      </c>
      <c r="L598" s="53" t="s">
        <v>15</v>
      </c>
      <c r="M598" s="53" t="s">
        <v>15</v>
      </c>
      <c r="N598" s="53" t="s">
        <v>15</v>
      </c>
      <c r="O598" s="53" t="s">
        <v>15</v>
      </c>
    </row>
    <row r="599" spans="1:15" x14ac:dyDescent="0.25">
      <c r="A599" s="52" t="s">
        <v>4845</v>
      </c>
      <c r="B599" s="54" t="str">
        <f t="shared" si="9"/>
        <v>IC,,NATSEMI,LM386,DIP8</v>
      </c>
      <c r="C599" s="53" t="s">
        <v>15</v>
      </c>
      <c r="D599" s="53" t="s">
        <v>15</v>
      </c>
      <c r="E599" s="53" t="s">
        <v>15</v>
      </c>
      <c r="F599" s="53" t="s">
        <v>15</v>
      </c>
      <c r="G599" s="53"/>
      <c r="H599" s="53" t="s">
        <v>1374</v>
      </c>
      <c r="I599" s="53" t="s">
        <v>2344</v>
      </c>
      <c r="J599" s="53" t="s">
        <v>423</v>
      </c>
      <c r="K599" s="53" t="s">
        <v>2345</v>
      </c>
      <c r="L599" s="53" t="s">
        <v>15</v>
      </c>
      <c r="M599" s="53" t="s">
        <v>15</v>
      </c>
      <c r="N599" s="53" t="s">
        <v>15</v>
      </c>
      <c r="O599" s="53" t="s">
        <v>15</v>
      </c>
    </row>
    <row r="600" spans="1:15" x14ac:dyDescent="0.25">
      <c r="A600" s="52" t="s">
        <v>4846</v>
      </c>
      <c r="B600" s="54" t="str">
        <f t="shared" si="9"/>
        <v>IC,,BURR-BROWN,PCM2707,</v>
      </c>
      <c r="C600" s="53" t="s">
        <v>15</v>
      </c>
      <c r="D600" s="53" t="s">
        <v>15</v>
      </c>
      <c r="E600" s="53" t="s">
        <v>15</v>
      </c>
      <c r="F600" s="53" t="s">
        <v>15</v>
      </c>
      <c r="G600" s="53"/>
      <c r="H600" s="53" t="s">
        <v>4977</v>
      </c>
      <c r="I600" s="53" t="s">
        <v>2346</v>
      </c>
      <c r="J600" s="53" t="s">
        <v>15</v>
      </c>
      <c r="K600" s="53" t="s">
        <v>2347</v>
      </c>
      <c r="L600" s="53" t="s">
        <v>15</v>
      </c>
      <c r="M600" s="53" t="s">
        <v>15</v>
      </c>
      <c r="N600" s="53" t="s">
        <v>15</v>
      </c>
      <c r="O600" s="53" t="s">
        <v>15</v>
      </c>
    </row>
    <row r="601" spans="1:15" x14ac:dyDescent="0.25">
      <c r="A601" s="52" t="s">
        <v>4847</v>
      </c>
      <c r="B601" s="54" t="str">
        <f t="shared" si="9"/>
        <v>IC,HEWLETT-PACKARD REPAIR PARTS,HP,MISC PARTS,</v>
      </c>
      <c r="C601" s="53" t="s">
        <v>15</v>
      </c>
      <c r="D601" s="53" t="s">
        <v>15</v>
      </c>
      <c r="E601" s="53" t="s">
        <v>15</v>
      </c>
      <c r="F601" s="53" t="s">
        <v>15</v>
      </c>
      <c r="G601" s="53" t="s">
        <v>4953</v>
      </c>
      <c r="H601" s="53" t="s">
        <v>511</v>
      </c>
      <c r="I601" s="53" t="s">
        <v>2348</v>
      </c>
      <c r="J601" s="53" t="s">
        <v>15</v>
      </c>
      <c r="K601" s="53" t="s">
        <v>2349</v>
      </c>
      <c r="L601" s="53" t="s">
        <v>15</v>
      </c>
      <c r="M601" s="53" t="s">
        <v>15</v>
      </c>
      <c r="N601" s="53" t="s">
        <v>15</v>
      </c>
      <c r="O601" s="53" t="s">
        <v>15</v>
      </c>
    </row>
    <row r="602" spans="1:15" x14ac:dyDescent="0.25">
      <c r="A602" s="52" t="s">
        <v>4848</v>
      </c>
      <c r="B602" s="54" t="str">
        <f t="shared" si="9"/>
        <v>IC,,ST,LF33CDT,DPAK</v>
      </c>
      <c r="C602" s="53" t="s">
        <v>15</v>
      </c>
      <c r="D602" s="53" t="s">
        <v>15</v>
      </c>
      <c r="E602" s="53" t="s">
        <v>15</v>
      </c>
      <c r="F602" s="53" t="s">
        <v>15</v>
      </c>
      <c r="G602" s="53"/>
      <c r="H602" s="53" t="s">
        <v>807</v>
      </c>
      <c r="I602" s="53" t="s">
        <v>2350</v>
      </c>
      <c r="J602" s="53" t="s">
        <v>932</v>
      </c>
      <c r="K602" s="53" t="s">
        <v>2351</v>
      </c>
      <c r="L602" s="53" t="s">
        <v>15</v>
      </c>
      <c r="M602" s="53" t="s">
        <v>15</v>
      </c>
      <c r="N602" s="53" t="s">
        <v>15</v>
      </c>
      <c r="O602" s="53" t="s">
        <v>15</v>
      </c>
    </row>
    <row r="603" spans="1:15" x14ac:dyDescent="0.25">
      <c r="A603" s="52" t="s">
        <v>4849</v>
      </c>
      <c r="B603" s="54" t="str">
        <f t="shared" si="9"/>
        <v>IC,,NATIONAL,LM385-BZ-2.5,TO92</v>
      </c>
      <c r="C603" s="53" t="s">
        <v>15</v>
      </c>
      <c r="D603" s="53" t="s">
        <v>15</v>
      </c>
      <c r="E603" s="53" t="s">
        <v>15</v>
      </c>
      <c r="F603" s="53" t="s">
        <v>15</v>
      </c>
      <c r="G603" s="53"/>
      <c r="H603" s="53" t="s">
        <v>1556</v>
      </c>
      <c r="I603" s="53" t="s">
        <v>2352</v>
      </c>
      <c r="J603" s="53" t="s">
        <v>1540</v>
      </c>
      <c r="K603" s="53" t="s">
        <v>2353</v>
      </c>
      <c r="L603" s="53" t="s">
        <v>15</v>
      </c>
      <c r="M603" s="53" t="s">
        <v>15</v>
      </c>
      <c r="N603" s="53" t="s">
        <v>15</v>
      </c>
      <c r="O603" s="53" t="s">
        <v>15</v>
      </c>
    </row>
    <row r="604" spans="1:15" x14ac:dyDescent="0.25">
      <c r="A604" s="52" t="s">
        <v>4850</v>
      </c>
      <c r="B604" s="54" t="str">
        <f t="shared" si="9"/>
        <v>IC,,NATIONAL,LM385Z-1.2,TO92</v>
      </c>
      <c r="C604" s="53" t="s">
        <v>15</v>
      </c>
      <c r="D604" s="53" t="s">
        <v>15</v>
      </c>
      <c r="E604" s="53" t="s">
        <v>15</v>
      </c>
      <c r="F604" s="53" t="s">
        <v>15</v>
      </c>
      <c r="G604" s="53"/>
      <c r="H604" s="53" t="s">
        <v>1556</v>
      </c>
      <c r="I604" s="53" t="s">
        <v>1543</v>
      </c>
      <c r="J604" s="53" t="s">
        <v>1540</v>
      </c>
      <c r="K604" s="53" t="s">
        <v>2354</v>
      </c>
      <c r="L604" s="53" t="s">
        <v>15</v>
      </c>
      <c r="M604" s="53" t="s">
        <v>15</v>
      </c>
      <c r="N604" s="53" t="s">
        <v>15</v>
      </c>
      <c r="O604" s="53" t="s">
        <v>15</v>
      </c>
    </row>
    <row r="605" spans="1:15" x14ac:dyDescent="0.25">
      <c r="A605" s="52" t="s">
        <v>4851</v>
      </c>
      <c r="B605" s="54" t="str">
        <f t="shared" si="9"/>
        <v>IC,,INTERSIL,ICL7611,DIP8</v>
      </c>
      <c r="C605" s="53" t="s">
        <v>15</v>
      </c>
      <c r="D605" s="53" t="s">
        <v>15</v>
      </c>
      <c r="E605" s="53" t="s">
        <v>15</v>
      </c>
      <c r="F605" s="53" t="s">
        <v>15</v>
      </c>
      <c r="G605" s="53"/>
      <c r="H605" s="53" t="s">
        <v>1819</v>
      </c>
      <c r="I605" s="53" t="s">
        <v>2355</v>
      </c>
      <c r="J605" s="53" t="s">
        <v>423</v>
      </c>
      <c r="K605" s="53" t="s">
        <v>2356</v>
      </c>
      <c r="L605" s="53" t="s">
        <v>15</v>
      </c>
      <c r="M605" s="53" t="s">
        <v>15</v>
      </c>
      <c r="N605" s="53" t="s">
        <v>15</v>
      </c>
      <c r="O605" s="53" t="s">
        <v>15</v>
      </c>
    </row>
    <row r="606" spans="1:15" x14ac:dyDescent="0.25">
      <c r="A606" s="52" t="s">
        <v>4852</v>
      </c>
      <c r="B606" s="54" t="str">
        <f t="shared" si="9"/>
        <v>IC,,HYUNDAI,HY62256,DIP28</v>
      </c>
      <c r="C606" s="53" t="s">
        <v>15</v>
      </c>
      <c r="D606" s="53" t="s">
        <v>15</v>
      </c>
      <c r="E606" s="53" t="s">
        <v>15</v>
      </c>
      <c r="F606" s="53" t="s">
        <v>15</v>
      </c>
      <c r="G606" s="53"/>
      <c r="H606" s="53" t="s">
        <v>2357</v>
      </c>
      <c r="I606" s="53" t="s">
        <v>2358</v>
      </c>
      <c r="J606" s="53" t="s">
        <v>1803</v>
      </c>
      <c r="K606" s="53" t="s">
        <v>2359</v>
      </c>
      <c r="L606" s="53" t="s">
        <v>15</v>
      </c>
      <c r="M606" s="53" t="s">
        <v>15</v>
      </c>
      <c r="N606" s="53" t="s">
        <v>15</v>
      </c>
      <c r="O606" s="53" t="s">
        <v>15</v>
      </c>
    </row>
    <row r="607" spans="1:15" x14ac:dyDescent="0.25">
      <c r="A607" s="52" t="s">
        <v>4853</v>
      </c>
      <c r="B607" s="54" t="str">
        <f t="shared" si="9"/>
        <v>IC,,ROBOTDYNE,SAM021,MODULE</v>
      </c>
      <c r="C607" s="53" t="s">
        <v>15</v>
      </c>
      <c r="D607" s="53" t="s">
        <v>15</v>
      </c>
      <c r="E607" s="53" t="s">
        <v>15</v>
      </c>
      <c r="F607" s="53" t="s">
        <v>15</v>
      </c>
      <c r="G607" s="53"/>
      <c r="H607" s="53" t="s">
        <v>2360</v>
      </c>
      <c r="I607" s="53" t="s">
        <v>2361</v>
      </c>
      <c r="J607" s="53" t="s">
        <v>1875</v>
      </c>
      <c r="K607" s="53" t="s">
        <v>2362</v>
      </c>
      <c r="L607" s="53" t="s">
        <v>15</v>
      </c>
      <c r="M607" s="53" t="s">
        <v>15</v>
      </c>
      <c r="N607" s="53" t="s">
        <v>15</v>
      </c>
      <c r="O607" s="53" t="s">
        <v>15</v>
      </c>
    </row>
    <row r="608" spans="1:15" x14ac:dyDescent="0.25">
      <c r="A608" s="52" t="s">
        <v>4854</v>
      </c>
      <c r="B608" s="54" t="str">
        <f t="shared" si="9"/>
        <v>IC,,ST,M48T35,DIP28</v>
      </c>
      <c r="C608" s="53" t="s">
        <v>15</v>
      </c>
      <c r="D608" s="53" t="s">
        <v>15</v>
      </c>
      <c r="E608" s="53" t="s">
        <v>15</v>
      </c>
      <c r="F608" s="53" t="s">
        <v>15</v>
      </c>
      <c r="G608" s="53"/>
      <c r="H608" s="53" t="s">
        <v>807</v>
      </c>
      <c r="I608" s="53" t="s">
        <v>2363</v>
      </c>
      <c r="J608" s="53" t="s">
        <v>1803</v>
      </c>
      <c r="K608" s="53" t="s">
        <v>2364</v>
      </c>
      <c r="L608" s="53" t="s">
        <v>15</v>
      </c>
      <c r="M608" s="53" t="s">
        <v>15</v>
      </c>
      <c r="N608" s="53" t="s">
        <v>15</v>
      </c>
      <c r="O608" s="53" t="s">
        <v>15</v>
      </c>
    </row>
    <row r="609" spans="1:15" x14ac:dyDescent="0.25">
      <c r="A609" s="52" t="s">
        <v>4855</v>
      </c>
      <c r="B609" s="54" t="str">
        <f t="shared" si="9"/>
        <v>IC,,NATIONAL,27C256,CER28</v>
      </c>
      <c r="C609" s="53" t="s">
        <v>15</v>
      </c>
      <c r="D609" s="53" t="s">
        <v>15</v>
      </c>
      <c r="E609" s="53" t="s">
        <v>15</v>
      </c>
      <c r="F609" s="53" t="s">
        <v>15</v>
      </c>
      <c r="G609" s="53"/>
      <c r="H609" s="53" t="s">
        <v>1556</v>
      </c>
      <c r="I609" s="53" t="s">
        <v>2365</v>
      </c>
      <c r="J609" s="53" t="s">
        <v>2366</v>
      </c>
      <c r="K609" s="53" t="s">
        <v>2367</v>
      </c>
      <c r="L609" s="53" t="s">
        <v>15</v>
      </c>
      <c r="M609" s="53" t="s">
        <v>15</v>
      </c>
      <c r="N609" s="53" t="s">
        <v>15</v>
      </c>
      <c r="O609" s="53" t="s">
        <v>15</v>
      </c>
    </row>
    <row r="610" spans="1:15" x14ac:dyDescent="0.25">
      <c r="A610" s="52" t="s">
        <v>4856</v>
      </c>
      <c r="B610" s="54" t="str">
        <f t="shared" si="9"/>
        <v>IC,,TI,TL084,SO14</v>
      </c>
      <c r="C610" s="53" t="s">
        <v>15</v>
      </c>
      <c r="D610" s="53" t="s">
        <v>15</v>
      </c>
      <c r="E610" s="53" t="s">
        <v>15</v>
      </c>
      <c r="F610" s="53" t="s">
        <v>15</v>
      </c>
      <c r="G610" s="53"/>
      <c r="H610" s="53" t="s">
        <v>1145</v>
      </c>
      <c r="I610" s="53" t="s">
        <v>1641</v>
      </c>
      <c r="J610" s="53" t="s">
        <v>1194</v>
      </c>
      <c r="K610" s="53" t="s">
        <v>2368</v>
      </c>
      <c r="L610" s="53" t="s">
        <v>15</v>
      </c>
      <c r="M610" s="53" t="s">
        <v>15</v>
      </c>
      <c r="N610" s="53" t="s">
        <v>15</v>
      </c>
      <c r="O610" s="53" t="s">
        <v>15</v>
      </c>
    </row>
    <row r="611" spans="1:15" x14ac:dyDescent="0.25">
      <c r="A611" s="52" t="s">
        <v>4857</v>
      </c>
      <c r="B611" s="54" t="str">
        <f t="shared" si="9"/>
        <v>IC,,TI,SN74HC14DR,SO14</v>
      </c>
      <c r="C611" s="53" t="s">
        <v>15</v>
      </c>
      <c r="D611" s="53" t="s">
        <v>15</v>
      </c>
      <c r="E611" s="53" t="s">
        <v>15</v>
      </c>
      <c r="F611" s="53" t="s">
        <v>15</v>
      </c>
      <c r="G611" s="53"/>
      <c r="H611" s="53" t="s">
        <v>1145</v>
      </c>
      <c r="I611" s="53" t="s">
        <v>2369</v>
      </c>
      <c r="J611" s="53" t="s">
        <v>1194</v>
      </c>
      <c r="K611" s="53" t="s">
        <v>2370</v>
      </c>
      <c r="L611" s="53" t="s">
        <v>15</v>
      </c>
      <c r="M611" s="53" t="s">
        <v>15</v>
      </c>
      <c r="N611" s="53" t="s">
        <v>15</v>
      </c>
      <c r="O611" s="53" t="s">
        <v>15</v>
      </c>
    </row>
    <row r="612" spans="1:15" x14ac:dyDescent="0.25">
      <c r="A612" s="52" t="s">
        <v>4858</v>
      </c>
      <c r="B612" s="54" t="str">
        <f t="shared" si="9"/>
        <v>IC,,MICROCHIP,MCP73833-FCI,</v>
      </c>
      <c r="C612" s="53" t="s">
        <v>15</v>
      </c>
      <c r="D612" s="53" t="s">
        <v>15</v>
      </c>
      <c r="E612" s="53" t="s">
        <v>15</v>
      </c>
      <c r="F612" s="53" t="s">
        <v>15</v>
      </c>
      <c r="G612" s="53"/>
      <c r="H612" s="53" t="s">
        <v>939</v>
      </c>
      <c r="I612" s="53" t="s">
        <v>2371</v>
      </c>
      <c r="J612" s="53" t="s">
        <v>15</v>
      </c>
      <c r="K612" s="53" t="s">
        <v>2372</v>
      </c>
      <c r="L612" s="53" t="s">
        <v>15</v>
      </c>
      <c r="M612" s="53" t="s">
        <v>15</v>
      </c>
      <c r="N612" s="53" t="s">
        <v>15</v>
      </c>
      <c r="O612" s="53" t="s">
        <v>15</v>
      </c>
    </row>
    <row r="613" spans="1:15" x14ac:dyDescent="0.25">
      <c r="A613" s="52" t="s">
        <v>4859</v>
      </c>
      <c r="B613" s="54" t="str">
        <f t="shared" si="9"/>
        <v>IC,,NXP,PCA9553,SO8</v>
      </c>
      <c r="C613" s="53" t="s">
        <v>15</v>
      </c>
      <c r="D613" s="53" t="s">
        <v>15</v>
      </c>
      <c r="E613" s="53" t="s">
        <v>15</v>
      </c>
      <c r="F613" s="53" t="s">
        <v>15</v>
      </c>
      <c r="G613" s="53"/>
      <c r="H613" s="53" t="s">
        <v>699</v>
      </c>
      <c r="I613" s="53" t="s">
        <v>2373</v>
      </c>
      <c r="J613" s="53" t="s">
        <v>1147</v>
      </c>
      <c r="K613" s="53" t="s">
        <v>2374</v>
      </c>
      <c r="L613" s="53" t="s">
        <v>15</v>
      </c>
      <c r="M613" s="53" t="s">
        <v>15</v>
      </c>
      <c r="N613" s="53" t="s">
        <v>15</v>
      </c>
      <c r="O613" s="53" t="s">
        <v>15</v>
      </c>
    </row>
    <row r="614" spans="1:15" x14ac:dyDescent="0.25">
      <c r="A614" s="52" t="s">
        <v>4860</v>
      </c>
      <c r="B614" s="54" t="str">
        <f t="shared" si="9"/>
        <v>IC,,TI,TPS2115ADRBR,</v>
      </c>
      <c r="C614" s="53" t="s">
        <v>15</v>
      </c>
      <c r="D614" s="53" t="s">
        <v>15</v>
      </c>
      <c r="E614" s="53" t="s">
        <v>15</v>
      </c>
      <c r="F614" s="53" t="s">
        <v>15</v>
      </c>
      <c r="G614" s="53"/>
      <c r="H614" s="53" t="s">
        <v>1145</v>
      </c>
      <c r="I614" s="53" t="s">
        <v>2375</v>
      </c>
      <c r="J614" s="53" t="s">
        <v>15</v>
      </c>
      <c r="K614" s="53" t="s">
        <v>2376</v>
      </c>
      <c r="L614" s="53" t="s">
        <v>15</v>
      </c>
      <c r="M614" s="53" t="s">
        <v>15</v>
      </c>
      <c r="N614" s="53" t="s">
        <v>15</v>
      </c>
      <c r="O614" s="53" t="s">
        <v>15</v>
      </c>
    </row>
    <row r="615" spans="1:15" x14ac:dyDescent="0.25">
      <c r="A615" s="52" t="s">
        <v>4861</v>
      </c>
      <c r="B615" s="54" t="str">
        <f t="shared" si="9"/>
        <v>IC,,MICRFEL,MIC23201,</v>
      </c>
      <c r="C615" s="53" t="s">
        <v>15</v>
      </c>
      <c r="D615" s="53" t="s">
        <v>15</v>
      </c>
      <c r="E615" s="53" t="s">
        <v>15</v>
      </c>
      <c r="F615" s="53" t="s">
        <v>15</v>
      </c>
      <c r="G615" s="53"/>
      <c r="H615" s="53" t="s">
        <v>2377</v>
      </c>
      <c r="I615" s="53" t="s">
        <v>2378</v>
      </c>
      <c r="J615" s="53" t="s">
        <v>15</v>
      </c>
      <c r="K615" s="53" t="s">
        <v>2379</v>
      </c>
      <c r="L615" s="53" t="s">
        <v>15</v>
      </c>
      <c r="M615" s="53" t="s">
        <v>15</v>
      </c>
      <c r="N615" s="53" t="s">
        <v>15</v>
      </c>
      <c r="O615" s="53" t="s">
        <v>15</v>
      </c>
    </row>
    <row r="616" spans="1:15" x14ac:dyDescent="0.25">
      <c r="A616" s="52" t="s">
        <v>4862</v>
      </c>
      <c r="B616" s="54" t="str">
        <f t="shared" si="9"/>
        <v>IC,,MICROCHIP,MCP1501T-20E/CHY,</v>
      </c>
      <c r="C616" s="53" t="s">
        <v>15</v>
      </c>
      <c r="D616" s="53" t="s">
        <v>15</v>
      </c>
      <c r="E616" s="53" t="s">
        <v>15</v>
      </c>
      <c r="F616" s="53" t="s">
        <v>15</v>
      </c>
      <c r="G616" s="53"/>
      <c r="H616" s="53" t="s">
        <v>939</v>
      </c>
      <c r="I616" s="53" t="s">
        <v>2380</v>
      </c>
      <c r="J616" s="53" t="s">
        <v>15</v>
      </c>
      <c r="K616" s="53" t="s">
        <v>2381</v>
      </c>
      <c r="L616" s="53" t="s">
        <v>15</v>
      </c>
      <c r="M616" s="53" t="s">
        <v>15</v>
      </c>
      <c r="N616" s="53" t="s">
        <v>15</v>
      </c>
      <c r="O616" s="53" t="s">
        <v>15</v>
      </c>
    </row>
    <row r="617" spans="1:15" x14ac:dyDescent="0.25">
      <c r="A617" s="52" t="s">
        <v>4863</v>
      </c>
      <c r="B617" s="54" t="str">
        <f t="shared" si="9"/>
        <v>IC,,MICROCHIP,MCP4725A2T,</v>
      </c>
      <c r="C617" s="53" t="s">
        <v>15</v>
      </c>
      <c r="D617" s="53" t="s">
        <v>15</v>
      </c>
      <c r="E617" s="53" t="s">
        <v>15</v>
      </c>
      <c r="F617" s="53" t="s">
        <v>15</v>
      </c>
      <c r="G617" s="53"/>
      <c r="H617" s="53" t="s">
        <v>939</v>
      </c>
      <c r="I617" s="53" t="s">
        <v>2382</v>
      </c>
      <c r="J617" s="53" t="s">
        <v>15</v>
      </c>
      <c r="K617" s="53" t="s">
        <v>2383</v>
      </c>
      <c r="L617" s="53" t="s">
        <v>15</v>
      </c>
      <c r="M617" s="53" t="s">
        <v>15</v>
      </c>
      <c r="N617" s="53" t="s">
        <v>15</v>
      </c>
      <c r="O617" s="53" t="s">
        <v>15</v>
      </c>
    </row>
    <row r="618" spans="1:15" x14ac:dyDescent="0.25">
      <c r="A618" s="52" t="s">
        <v>4864</v>
      </c>
      <c r="B618" s="54" t="str">
        <f t="shared" si="9"/>
        <v>IC,,TI,74HC14S14-13,SO14</v>
      </c>
      <c r="C618" s="53" t="s">
        <v>15</v>
      </c>
      <c r="D618" s="53" t="s">
        <v>15</v>
      </c>
      <c r="E618" s="53" t="s">
        <v>15</v>
      </c>
      <c r="F618" s="53" t="s">
        <v>15</v>
      </c>
      <c r="G618" s="53"/>
      <c r="H618" s="53" t="s">
        <v>1145</v>
      </c>
      <c r="I618" s="53" t="s">
        <v>2384</v>
      </c>
      <c r="J618" s="53" t="s">
        <v>1194</v>
      </c>
      <c r="K618" s="53" t="s">
        <v>2385</v>
      </c>
      <c r="L618" s="53" t="s">
        <v>15</v>
      </c>
      <c r="M618" s="53" t="s">
        <v>15</v>
      </c>
      <c r="N618" s="53" t="s">
        <v>15</v>
      </c>
      <c r="O618" s="53" t="s">
        <v>15</v>
      </c>
    </row>
    <row r="619" spans="1:15" x14ac:dyDescent="0.25">
      <c r="A619" s="52" t="s">
        <v>4865</v>
      </c>
      <c r="B619" s="54" t="str">
        <f t="shared" si="9"/>
        <v>IC,,,AP1509-50SG-13,</v>
      </c>
      <c r="C619" s="53" t="s">
        <v>15</v>
      </c>
      <c r="D619" s="53" t="s">
        <v>15</v>
      </c>
      <c r="E619" s="53" t="s">
        <v>15</v>
      </c>
      <c r="F619" s="53" t="s">
        <v>15</v>
      </c>
      <c r="G619" s="53"/>
      <c r="H619" s="53" t="s">
        <v>15</v>
      </c>
      <c r="I619" s="53" t="s">
        <v>2386</v>
      </c>
      <c r="J619" s="53" t="s">
        <v>15</v>
      </c>
      <c r="K619" s="53" t="s">
        <v>2387</v>
      </c>
      <c r="L619" s="53" t="s">
        <v>15</v>
      </c>
      <c r="M619" s="53" t="s">
        <v>15</v>
      </c>
      <c r="N619" s="53" t="s">
        <v>15</v>
      </c>
      <c r="O619" s="53" t="s">
        <v>15</v>
      </c>
    </row>
    <row r="620" spans="1:15" ht="30" x14ac:dyDescent="0.25">
      <c r="A620" s="52" t="s">
        <v>4866</v>
      </c>
      <c r="B620" s="54" t="str">
        <f t="shared" si="9"/>
        <v>IC,MODULE,ADJUSTABLE REGULATOR,,REG-ADJ-SWITCH,MODULE</v>
      </c>
      <c r="C620" s="53" t="s">
        <v>15</v>
      </c>
      <c r="D620" s="53" t="s">
        <v>15</v>
      </c>
      <c r="E620" s="53" t="s">
        <v>15</v>
      </c>
      <c r="F620" s="53" t="s">
        <v>15</v>
      </c>
      <c r="G620" s="53" t="s">
        <v>4954</v>
      </c>
      <c r="H620" s="53" t="s">
        <v>15</v>
      </c>
      <c r="I620" s="53" t="s">
        <v>2388</v>
      </c>
      <c r="J620" s="53" t="s">
        <v>1875</v>
      </c>
      <c r="K620" s="53" t="s">
        <v>2389</v>
      </c>
      <c r="L620" s="53" t="s">
        <v>15</v>
      </c>
      <c r="M620" s="53" t="s">
        <v>15</v>
      </c>
      <c r="N620" s="53" t="s">
        <v>15</v>
      </c>
      <c r="O620" s="53" t="s">
        <v>15</v>
      </c>
    </row>
    <row r="621" spans="1:15" x14ac:dyDescent="0.25">
      <c r="A621" s="52" t="s">
        <v>4867</v>
      </c>
      <c r="B621" s="54" t="str">
        <f t="shared" si="9"/>
        <v>IC,,TOSHIBA,74HC221,DIP16</v>
      </c>
      <c r="C621" s="53" t="s">
        <v>15</v>
      </c>
      <c r="D621" s="53" t="s">
        <v>15</v>
      </c>
      <c r="E621" s="53" t="s">
        <v>15</v>
      </c>
      <c r="F621" s="53" t="s">
        <v>15</v>
      </c>
      <c r="G621" s="53"/>
      <c r="H621" s="53" t="s">
        <v>1021</v>
      </c>
      <c r="I621" s="53" t="s">
        <v>1844</v>
      </c>
      <c r="J621" s="53" t="s">
        <v>432</v>
      </c>
      <c r="K621" s="53" t="s">
        <v>2390</v>
      </c>
      <c r="L621" s="53" t="s">
        <v>15</v>
      </c>
      <c r="M621" s="53" t="s">
        <v>15</v>
      </c>
      <c r="N621" s="53" t="s">
        <v>15</v>
      </c>
      <c r="O621" s="53" t="s">
        <v>15</v>
      </c>
    </row>
    <row r="622" spans="1:15" x14ac:dyDescent="0.25">
      <c r="A622" s="52" t="s">
        <v>4868</v>
      </c>
      <c r="B622" s="54" t="str">
        <f t="shared" si="9"/>
        <v>IC,,ST,TS954,DIP14</v>
      </c>
      <c r="C622" s="53" t="s">
        <v>15</v>
      </c>
      <c r="D622" s="53" t="s">
        <v>15</v>
      </c>
      <c r="E622" s="53" t="s">
        <v>15</v>
      </c>
      <c r="F622" s="53" t="s">
        <v>15</v>
      </c>
      <c r="G622" s="53"/>
      <c r="H622" s="53" t="s">
        <v>807</v>
      </c>
      <c r="I622" s="53" t="s">
        <v>2391</v>
      </c>
      <c r="J622" s="53" t="s">
        <v>428</v>
      </c>
      <c r="K622" s="53" t="s">
        <v>2392</v>
      </c>
      <c r="L622" s="53" t="s">
        <v>15</v>
      </c>
      <c r="M622" s="53" t="s">
        <v>15</v>
      </c>
      <c r="N622" s="53" t="s">
        <v>15</v>
      </c>
      <c r="O622" s="53" t="s">
        <v>15</v>
      </c>
    </row>
    <row r="623" spans="1:15" x14ac:dyDescent="0.25">
      <c r="A623" s="52" t="s">
        <v>4869</v>
      </c>
      <c r="B623" s="54" t="str">
        <f t="shared" si="9"/>
        <v>IC,,ST,TS904,DIP16</v>
      </c>
      <c r="C623" s="53" t="s">
        <v>15</v>
      </c>
      <c r="D623" s="53" t="s">
        <v>15</v>
      </c>
      <c r="E623" s="53" t="s">
        <v>15</v>
      </c>
      <c r="F623" s="53" t="s">
        <v>15</v>
      </c>
      <c r="G623" s="53"/>
      <c r="H623" s="53" t="s">
        <v>807</v>
      </c>
      <c r="I623" s="53" t="s">
        <v>2393</v>
      </c>
      <c r="J623" s="53" t="s">
        <v>432</v>
      </c>
      <c r="K623" s="53" t="s">
        <v>2394</v>
      </c>
      <c r="L623" s="53" t="s">
        <v>15</v>
      </c>
      <c r="M623" s="53" t="s">
        <v>15</v>
      </c>
      <c r="N623" s="53" t="s">
        <v>15</v>
      </c>
      <c r="O623" s="53" t="s">
        <v>15</v>
      </c>
    </row>
    <row r="624" spans="1:15" x14ac:dyDescent="0.25">
      <c r="A624" s="52" t="s">
        <v>4870</v>
      </c>
      <c r="B624" s="54" t="str">
        <f t="shared" si="9"/>
        <v>IC,,ST,TS952,DIP16</v>
      </c>
      <c r="C624" s="53" t="s">
        <v>15</v>
      </c>
      <c r="D624" s="53" t="s">
        <v>15</v>
      </c>
      <c r="E624" s="53" t="s">
        <v>15</v>
      </c>
      <c r="F624" s="53" t="s">
        <v>15</v>
      </c>
      <c r="G624" s="53"/>
      <c r="H624" s="53" t="s">
        <v>807</v>
      </c>
      <c r="I624" s="53" t="s">
        <v>2395</v>
      </c>
      <c r="J624" s="53" t="s">
        <v>432</v>
      </c>
      <c r="K624" s="53" t="s">
        <v>2396</v>
      </c>
      <c r="L624" s="53" t="s">
        <v>15</v>
      </c>
      <c r="M624" s="53" t="s">
        <v>15</v>
      </c>
      <c r="N624" s="53" t="s">
        <v>15</v>
      </c>
      <c r="O624" s="53" t="s">
        <v>15</v>
      </c>
    </row>
    <row r="625" spans="1:15" x14ac:dyDescent="0.25">
      <c r="A625" s="52" t="s">
        <v>4871</v>
      </c>
      <c r="B625" s="54" t="str">
        <f t="shared" si="9"/>
        <v>IC,,ST,TS914,DIP14</v>
      </c>
      <c r="C625" s="53" t="s">
        <v>15</v>
      </c>
      <c r="D625" s="53" t="s">
        <v>15</v>
      </c>
      <c r="E625" s="53" t="s">
        <v>15</v>
      </c>
      <c r="F625" s="53" t="s">
        <v>15</v>
      </c>
      <c r="G625" s="53"/>
      <c r="H625" s="53" t="s">
        <v>807</v>
      </c>
      <c r="I625" s="53" t="s">
        <v>2397</v>
      </c>
      <c r="J625" s="53" t="s">
        <v>428</v>
      </c>
      <c r="K625" s="53" t="s">
        <v>2398</v>
      </c>
      <c r="L625" s="53" t="s">
        <v>15</v>
      </c>
      <c r="M625" s="53" t="s">
        <v>15</v>
      </c>
      <c r="N625" s="53" t="s">
        <v>15</v>
      </c>
      <c r="O625" s="53" t="s">
        <v>15</v>
      </c>
    </row>
    <row r="626" spans="1:15" x14ac:dyDescent="0.25">
      <c r="A626" s="52" t="s">
        <v>4872</v>
      </c>
      <c r="B626" s="54" t="str">
        <f t="shared" si="9"/>
        <v>IC,,ST,TS464,DIP14</v>
      </c>
      <c r="C626" s="53" t="s">
        <v>15</v>
      </c>
      <c r="D626" s="53" t="s">
        <v>15</v>
      </c>
      <c r="E626" s="53" t="s">
        <v>15</v>
      </c>
      <c r="F626" s="53" t="s">
        <v>15</v>
      </c>
      <c r="G626" s="53"/>
      <c r="H626" s="53" t="s">
        <v>807</v>
      </c>
      <c r="I626" s="53" t="s">
        <v>2399</v>
      </c>
      <c r="J626" s="53" t="s">
        <v>428</v>
      </c>
      <c r="K626" s="53" t="s">
        <v>2400</v>
      </c>
      <c r="L626" s="53" t="s">
        <v>15</v>
      </c>
      <c r="M626" s="53" t="s">
        <v>15</v>
      </c>
      <c r="N626" s="53" t="s">
        <v>15</v>
      </c>
      <c r="O626" s="53" t="s">
        <v>15</v>
      </c>
    </row>
    <row r="627" spans="1:15" x14ac:dyDescent="0.25">
      <c r="A627" s="52" t="s">
        <v>4873</v>
      </c>
      <c r="B627" s="54" t="str">
        <f t="shared" si="9"/>
        <v>IC,,ST,TS924,DIP14</v>
      </c>
      <c r="C627" s="53" t="s">
        <v>15</v>
      </c>
      <c r="D627" s="53" t="s">
        <v>15</v>
      </c>
      <c r="E627" s="53" t="s">
        <v>15</v>
      </c>
      <c r="F627" s="53" t="s">
        <v>15</v>
      </c>
      <c r="G627" s="53"/>
      <c r="H627" s="53" t="s">
        <v>807</v>
      </c>
      <c r="I627" s="53" t="s">
        <v>2401</v>
      </c>
      <c r="J627" s="53" t="s">
        <v>428</v>
      </c>
      <c r="K627" s="53" t="s">
        <v>2402</v>
      </c>
      <c r="L627" s="53" t="s">
        <v>15</v>
      </c>
      <c r="M627" s="53" t="s">
        <v>15</v>
      </c>
      <c r="N627" s="53" t="s">
        <v>15</v>
      </c>
      <c r="O627" s="53" t="s">
        <v>15</v>
      </c>
    </row>
    <row r="628" spans="1:15" x14ac:dyDescent="0.25">
      <c r="A628" s="52" t="s">
        <v>4874</v>
      </c>
      <c r="B628" s="54" t="str">
        <f t="shared" si="9"/>
        <v>IC,,ST,TS902,DIP14</v>
      </c>
      <c r="C628" s="53" t="s">
        <v>15</v>
      </c>
      <c r="D628" s="53" t="s">
        <v>15</v>
      </c>
      <c r="E628" s="53" t="s">
        <v>15</v>
      </c>
      <c r="F628" s="53" t="s">
        <v>15</v>
      </c>
      <c r="G628" s="53"/>
      <c r="H628" s="53" t="s">
        <v>807</v>
      </c>
      <c r="I628" s="53" t="s">
        <v>2403</v>
      </c>
      <c r="J628" s="53" t="s">
        <v>428</v>
      </c>
      <c r="K628" s="53" t="s">
        <v>2404</v>
      </c>
      <c r="L628" s="53" t="s">
        <v>15</v>
      </c>
      <c r="M628" s="53" t="s">
        <v>15</v>
      </c>
      <c r="N628" s="53" t="s">
        <v>15</v>
      </c>
      <c r="O628" s="53" t="s">
        <v>15</v>
      </c>
    </row>
    <row r="629" spans="1:15" x14ac:dyDescent="0.25">
      <c r="A629" s="52" t="s">
        <v>4875</v>
      </c>
      <c r="B629" s="54" t="str">
        <f t="shared" si="9"/>
        <v>IC,,ONSEMI,MC7908,TO220</v>
      </c>
      <c r="C629" s="53" t="s">
        <v>15</v>
      </c>
      <c r="D629" s="53" t="s">
        <v>15</v>
      </c>
      <c r="E629" s="53" t="s">
        <v>15</v>
      </c>
      <c r="F629" s="53" t="s">
        <v>15</v>
      </c>
      <c r="G629" s="53"/>
      <c r="H629" s="53" t="s">
        <v>685</v>
      </c>
      <c r="I629" s="53" t="s">
        <v>1978</v>
      </c>
      <c r="J629" s="53" t="s">
        <v>780</v>
      </c>
      <c r="K629" s="53" t="s">
        <v>2405</v>
      </c>
      <c r="L629" s="53" t="s">
        <v>15</v>
      </c>
      <c r="M629" s="53" t="s">
        <v>15</v>
      </c>
      <c r="N629" s="53" t="s">
        <v>15</v>
      </c>
      <c r="O629" s="53" t="s">
        <v>15</v>
      </c>
    </row>
    <row r="630" spans="1:15" x14ac:dyDescent="0.25">
      <c r="A630" s="52" t="s">
        <v>4876</v>
      </c>
      <c r="B630" s="54" t="str">
        <f t="shared" si="9"/>
        <v>IC,,LINEAR TECH,LT1084,TO247</v>
      </c>
      <c r="C630" s="53" t="s">
        <v>15</v>
      </c>
      <c r="D630" s="53" t="s">
        <v>15</v>
      </c>
      <c r="E630" s="53" t="s">
        <v>15</v>
      </c>
      <c r="F630" s="53" t="s">
        <v>15</v>
      </c>
      <c r="G630" s="53"/>
      <c r="H630" s="53" t="s">
        <v>1626</v>
      </c>
      <c r="I630" s="53" t="s">
        <v>1973</v>
      </c>
      <c r="J630" s="53" t="s">
        <v>1082</v>
      </c>
      <c r="K630" s="53" t="s">
        <v>2406</v>
      </c>
      <c r="L630" s="53" t="s">
        <v>15</v>
      </c>
      <c r="M630" s="53" t="s">
        <v>15</v>
      </c>
      <c r="N630" s="53" t="s">
        <v>15</v>
      </c>
      <c r="O630" s="53" t="s">
        <v>15</v>
      </c>
    </row>
    <row r="631" spans="1:15" x14ac:dyDescent="0.25">
      <c r="A631" s="52" t="s">
        <v>4877</v>
      </c>
      <c r="B631" s="54" t="str">
        <f t="shared" si="9"/>
        <v>IC,,SIGNETICS,NE5539,DIP14</v>
      </c>
      <c r="C631" s="53" t="s">
        <v>15</v>
      </c>
      <c r="D631" s="53" t="s">
        <v>15</v>
      </c>
      <c r="E631" s="53" t="s">
        <v>15</v>
      </c>
      <c r="F631" s="53" t="s">
        <v>15</v>
      </c>
      <c r="G631" s="53"/>
      <c r="H631" s="53" t="s">
        <v>4976</v>
      </c>
      <c r="I631" s="53" t="s">
        <v>2407</v>
      </c>
      <c r="J631" s="53" t="s">
        <v>428</v>
      </c>
      <c r="K631" s="53" t="s">
        <v>2408</v>
      </c>
      <c r="L631" s="53" t="s">
        <v>15</v>
      </c>
      <c r="M631" s="53" t="s">
        <v>15</v>
      </c>
      <c r="N631" s="53" t="s">
        <v>15</v>
      </c>
      <c r="O631" s="53" t="s">
        <v>15</v>
      </c>
    </row>
    <row r="632" spans="1:15" x14ac:dyDescent="0.25">
      <c r="A632" s="52" t="s">
        <v>4878</v>
      </c>
      <c r="B632" s="54" t="str">
        <f t="shared" si="9"/>
        <v>IC,,RCA,CD74AC541,DIP20</v>
      </c>
      <c r="C632" s="53" t="s">
        <v>15</v>
      </c>
      <c r="D632" s="53" t="s">
        <v>15</v>
      </c>
      <c r="E632" s="53" t="s">
        <v>15</v>
      </c>
      <c r="F632" s="53" t="s">
        <v>15</v>
      </c>
      <c r="G632" s="53"/>
      <c r="H632" s="53" t="s">
        <v>1944</v>
      </c>
      <c r="I632" s="53" t="s">
        <v>2409</v>
      </c>
      <c r="J632" s="53" t="s">
        <v>440</v>
      </c>
      <c r="K632" s="53" t="s">
        <v>2410</v>
      </c>
      <c r="L632" s="53" t="s">
        <v>15</v>
      </c>
      <c r="M632" s="53" t="s">
        <v>15</v>
      </c>
      <c r="N632" s="53" t="s">
        <v>15</v>
      </c>
      <c r="O632" s="53" t="s">
        <v>15</v>
      </c>
    </row>
    <row r="633" spans="1:15" x14ac:dyDescent="0.25">
      <c r="A633" s="52" t="s">
        <v>4879</v>
      </c>
      <c r="B633" s="54" t="str">
        <f t="shared" si="9"/>
        <v>IC,,ST,TS974,DIP14</v>
      </c>
      <c r="C633" s="53" t="s">
        <v>15</v>
      </c>
      <c r="D633" s="53" t="s">
        <v>15</v>
      </c>
      <c r="E633" s="53" t="s">
        <v>15</v>
      </c>
      <c r="F633" s="53" t="s">
        <v>15</v>
      </c>
      <c r="G633" s="53"/>
      <c r="H633" s="53" t="s">
        <v>807</v>
      </c>
      <c r="I633" s="53" t="s">
        <v>2411</v>
      </c>
      <c r="J633" s="53" t="s">
        <v>428</v>
      </c>
      <c r="K633" s="53" t="s">
        <v>2412</v>
      </c>
      <c r="L633" s="53" t="s">
        <v>15</v>
      </c>
      <c r="M633" s="53" t="s">
        <v>15</v>
      </c>
      <c r="N633" s="53" t="s">
        <v>15</v>
      </c>
      <c r="O633" s="53" t="s">
        <v>15</v>
      </c>
    </row>
    <row r="634" spans="1:15" x14ac:dyDescent="0.25">
      <c r="A634" s="52" t="s">
        <v>4880</v>
      </c>
      <c r="B634" s="54" t="str">
        <f t="shared" si="9"/>
        <v>IC,,NATSEMI,LM3914,DIP18</v>
      </c>
      <c r="C634" s="53" t="s">
        <v>15</v>
      </c>
      <c r="D634" s="53" t="s">
        <v>15</v>
      </c>
      <c r="E634" s="53" t="s">
        <v>15</v>
      </c>
      <c r="F634" s="53" t="s">
        <v>15</v>
      </c>
      <c r="G634" s="53"/>
      <c r="H634" s="53" t="s">
        <v>1374</v>
      </c>
      <c r="I634" s="53" t="s">
        <v>1683</v>
      </c>
      <c r="J634" s="53" t="s">
        <v>436</v>
      </c>
      <c r="K634" s="53" t="s">
        <v>2413</v>
      </c>
      <c r="L634" s="53" t="s">
        <v>15</v>
      </c>
      <c r="M634" s="53" t="s">
        <v>15</v>
      </c>
      <c r="N634" s="53" t="s">
        <v>15</v>
      </c>
      <c r="O634" s="53" t="s">
        <v>15</v>
      </c>
    </row>
    <row r="635" spans="1:15" x14ac:dyDescent="0.25">
      <c r="A635" s="52" t="s">
        <v>4881</v>
      </c>
      <c r="B635" s="54" t="str">
        <f t="shared" si="9"/>
        <v>IC,,NATSEMI,LM614,DIP16</v>
      </c>
      <c r="C635" s="53" t="s">
        <v>15</v>
      </c>
      <c r="D635" s="53" t="s">
        <v>15</v>
      </c>
      <c r="E635" s="53" t="s">
        <v>15</v>
      </c>
      <c r="F635" s="53" t="s">
        <v>15</v>
      </c>
      <c r="G635" s="53"/>
      <c r="H635" s="53" t="s">
        <v>1374</v>
      </c>
      <c r="I635" s="53" t="s">
        <v>2414</v>
      </c>
      <c r="J635" s="53" t="s">
        <v>432</v>
      </c>
      <c r="K635" s="53" t="s">
        <v>2415</v>
      </c>
      <c r="L635" s="53" t="s">
        <v>15</v>
      </c>
      <c r="M635" s="53" t="s">
        <v>15</v>
      </c>
      <c r="N635" s="53" t="s">
        <v>15</v>
      </c>
      <c r="O635" s="53" t="s">
        <v>15</v>
      </c>
    </row>
    <row r="636" spans="1:15" x14ac:dyDescent="0.25">
      <c r="A636" s="52" t="s">
        <v>4882</v>
      </c>
      <c r="B636" s="54" t="str">
        <f t="shared" si="9"/>
        <v>IC,,NATSEMI,LM2931-ADJ,TO220-5</v>
      </c>
      <c r="C636" s="53" t="s">
        <v>15</v>
      </c>
      <c r="D636" s="53" t="s">
        <v>15</v>
      </c>
      <c r="E636" s="53" t="s">
        <v>15</v>
      </c>
      <c r="F636" s="53" t="s">
        <v>15</v>
      </c>
      <c r="G636" s="53"/>
      <c r="H636" s="53" t="s">
        <v>1374</v>
      </c>
      <c r="I636" s="53" t="s">
        <v>2416</v>
      </c>
      <c r="J636" s="53" t="s">
        <v>1787</v>
      </c>
      <c r="K636" s="53" t="s">
        <v>2417</v>
      </c>
      <c r="L636" s="53" t="s">
        <v>563</v>
      </c>
      <c r="M636" s="53" t="s">
        <v>15</v>
      </c>
      <c r="N636" s="53" t="s">
        <v>15</v>
      </c>
      <c r="O636" s="53" t="s">
        <v>15</v>
      </c>
    </row>
    <row r="637" spans="1:15" x14ac:dyDescent="0.25">
      <c r="A637" s="52" t="s">
        <v>4883</v>
      </c>
      <c r="B637" s="54" t="str">
        <f t="shared" si="9"/>
        <v>IC,,NATSEMI,LM336Z-2.5,TO92</v>
      </c>
      <c r="C637" s="53" t="s">
        <v>15</v>
      </c>
      <c r="D637" s="53" t="s">
        <v>15</v>
      </c>
      <c r="E637" s="53" t="s">
        <v>15</v>
      </c>
      <c r="F637" s="53" t="s">
        <v>15</v>
      </c>
      <c r="G637" s="53"/>
      <c r="H637" s="53" t="s">
        <v>1374</v>
      </c>
      <c r="I637" s="53" t="s">
        <v>2418</v>
      </c>
      <c r="J637" s="53" t="s">
        <v>1540</v>
      </c>
      <c r="K637" s="53" t="s">
        <v>2419</v>
      </c>
      <c r="L637" s="53" t="s">
        <v>563</v>
      </c>
      <c r="M637" s="53" t="s">
        <v>15</v>
      </c>
      <c r="N637" s="53" t="s">
        <v>15</v>
      </c>
      <c r="O637" s="53" t="s">
        <v>15</v>
      </c>
    </row>
    <row r="638" spans="1:15" x14ac:dyDescent="0.25">
      <c r="A638" s="52" t="s">
        <v>4884</v>
      </c>
      <c r="B638" s="54" t="str">
        <f t="shared" si="9"/>
        <v>IC,,NATSEMI,LM336Z-5.0,TO92</v>
      </c>
      <c r="C638" s="53" t="s">
        <v>15</v>
      </c>
      <c r="D638" s="53" t="s">
        <v>15</v>
      </c>
      <c r="E638" s="53" t="s">
        <v>15</v>
      </c>
      <c r="F638" s="53" t="s">
        <v>15</v>
      </c>
      <c r="G638" s="53"/>
      <c r="H638" s="53" t="s">
        <v>1374</v>
      </c>
      <c r="I638" s="53" t="s">
        <v>2420</v>
      </c>
      <c r="J638" s="53" t="s">
        <v>1540</v>
      </c>
      <c r="K638" s="53" t="s">
        <v>2421</v>
      </c>
      <c r="L638" s="53" t="s">
        <v>563</v>
      </c>
      <c r="M638" s="53" t="s">
        <v>15</v>
      </c>
      <c r="N638" s="53" t="s">
        <v>15</v>
      </c>
      <c r="O638" s="53" t="s">
        <v>15</v>
      </c>
    </row>
    <row r="639" spans="1:15" x14ac:dyDescent="0.25">
      <c r="A639" s="52" t="s">
        <v>4885</v>
      </c>
      <c r="B639" s="54" t="str">
        <f t="shared" si="9"/>
        <v>IC,,NATSEMI,LM334,TO92</v>
      </c>
      <c r="C639" s="53" t="s">
        <v>15</v>
      </c>
      <c r="D639" s="53" t="s">
        <v>15</v>
      </c>
      <c r="E639" s="53" t="s">
        <v>15</v>
      </c>
      <c r="F639" s="53" t="s">
        <v>15</v>
      </c>
      <c r="G639" s="53"/>
      <c r="H639" s="53" t="s">
        <v>1374</v>
      </c>
      <c r="I639" s="53" t="s">
        <v>2422</v>
      </c>
      <c r="J639" s="53" t="s">
        <v>1540</v>
      </c>
      <c r="K639" s="53" t="s">
        <v>2423</v>
      </c>
      <c r="L639" s="53" t="s">
        <v>563</v>
      </c>
      <c r="M639" s="53" t="s">
        <v>15</v>
      </c>
      <c r="N639" s="53" t="s">
        <v>15</v>
      </c>
      <c r="O639" s="53" t="s">
        <v>15</v>
      </c>
    </row>
    <row r="640" spans="1:15" x14ac:dyDescent="0.25">
      <c r="A640" s="52" t="s">
        <v>4886</v>
      </c>
      <c r="B640" s="54" t="str">
        <f t="shared" si="9"/>
        <v>IC,,ST,LF351,DIP8</v>
      </c>
      <c r="C640" s="53" t="s">
        <v>15</v>
      </c>
      <c r="D640" s="53" t="s">
        <v>15</v>
      </c>
      <c r="E640" s="53" t="s">
        <v>15</v>
      </c>
      <c r="F640" s="53" t="s">
        <v>15</v>
      </c>
      <c r="G640" s="53"/>
      <c r="H640" s="53" t="s">
        <v>807</v>
      </c>
      <c r="I640" s="53" t="s">
        <v>2424</v>
      </c>
      <c r="J640" s="53" t="s">
        <v>423</v>
      </c>
      <c r="K640" s="53" t="s">
        <v>2425</v>
      </c>
      <c r="L640" s="53" t="s">
        <v>563</v>
      </c>
      <c r="M640" s="53" t="s">
        <v>15</v>
      </c>
      <c r="N640" s="53" t="s">
        <v>15</v>
      </c>
      <c r="O640" s="53" t="s">
        <v>15</v>
      </c>
    </row>
    <row r="641" spans="1:15" x14ac:dyDescent="0.25">
      <c r="A641" s="52" t="s">
        <v>4887</v>
      </c>
      <c r="B641" s="54" t="str">
        <f t="shared" si="9"/>
        <v>IC,,HARRIS,CA3130,DIP8</v>
      </c>
      <c r="C641" s="53" t="s">
        <v>15</v>
      </c>
      <c r="D641" s="53" t="s">
        <v>15</v>
      </c>
      <c r="E641" s="53" t="s">
        <v>15</v>
      </c>
      <c r="F641" s="53" t="s">
        <v>15</v>
      </c>
      <c r="G641" s="53"/>
      <c r="H641" s="53" t="s">
        <v>1988</v>
      </c>
      <c r="I641" s="53" t="s">
        <v>2426</v>
      </c>
      <c r="J641" s="53" t="s">
        <v>423</v>
      </c>
      <c r="K641" s="53" t="s">
        <v>2427</v>
      </c>
      <c r="L641" s="53" t="s">
        <v>563</v>
      </c>
      <c r="M641" s="53" t="s">
        <v>15</v>
      </c>
      <c r="N641" s="53" t="s">
        <v>15</v>
      </c>
      <c r="O641" s="53" t="s">
        <v>15</v>
      </c>
    </row>
    <row r="642" spans="1:15" x14ac:dyDescent="0.25">
      <c r="A642" s="52" t="s">
        <v>4888</v>
      </c>
      <c r="B642" s="54" t="str">
        <f t="shared" si="9"/>
        <v>IC,,HARRIS,CA3140,DIP8</v>
      </c>
      <c r="C642" s="53" t="s">
        <v>15</v>
      </c>
      <c r="D642" s="53" t="s">
        <v>15</v>
      </c>
      <c r="E642" s="53" t="s">
        <v>15</v>
      </c>
      <c r="F642" s="53" t="s">
        <v>15</v>
      </c>
      <c r="G642" s="53"/>
      <c r="H642" s="53" t="s">
        <v>1988</v>
      </c>
      <c r="I642" s="53" t="s">
        <v>1945</v>
      </c>
      <c r="J642" s="53" t="s">
        <v>423</v>
      </c>
      <c r="K642" s="53" t="s">
        <v>2428</v>
      </c>
      <c r="L642" s="53" t="s">
        <v>563</v>
      </c>
      <c r="M642" s="53" t="s">
        <v>15</v>
      </c>
      <c r="N642" s="53" t="s">
        <v>15</v>
      </c>
      <c r="O642" s="53" t="s">
        <v>15</v>
      </c>
    </row>
    <row r="643" spans="1:15" x14ac:dyDescent="0.25">
      <c r="A643" s="52" t="s">
        <v>4889</v>
      </c>
      <c r="B643" s="54" t="str">
        <f t="shared" ref="B643:B700" si="10">_xlfn.CONCAT("IC,",G643,",",H643,",",I643,",",J643)</f>
        <v>IC,,TI,NE555P,DIP8</v>
      </c>
      <c r="C643" s="53" t="s">
        <v>15</v>
      </c>
      <c r="D643" s="53" t="s">
        <v>15</v>
      </c>
      <c r="E643" s="53" t="s">
        <v>15</v>
      </c>
      <c r="F643" s="53" t="s">
        <v>15</v>
      </c>
      <c r="G643" s="53"/>
      <c r="H643" s="53" t="s">
        <v>1145</v>
      </c>
      <c r="I643" s="53" t="s">
        <v>2429</v>
      </c>
      <c r="J643" s="53" t="s">
        <v>423</v>
      </c>
      <c r="K643" s="53" t="s">
        <v>2430</v>
      </c>
      <c r="L643" s="53" t="s">
        <v>563</v>
      </c>
      <c r="M643" s="53" t="s">
        <v>15</v>
      </c>
      <c r="N643" s="53" t="s">
        <v>15</v>
      </c>
      <c r="O643" s="53" t="s">
        <v>15</v>
      </c>
    </row>
    <row r="644" spans="1:15" x14ac:dyDescent="0.25">
      <c r="A644" s="52" t="s">
        <v>4890</v>
      </c>
      <c r="B644" s="54" t="str">
        <f t="shared" si="10"/>
        <v>IC,,NATSEMI,LF411,DIP8</v>
      </c>
      <c r="C644" s="53" t="s">
        <v>15</v>
      </c>
      <c r="D644" s="53" t="s">
        <v>15</v>
      </c>
      <c r="E644" s="53" t="s">
        <v>15</v>
      </c>
      <c r="F644" s="53" t="s">
        <v>15</v>
      </c>
      <c r="G644" s="53"/>
      <c r="H644" s="53" t="s">
        <v>1374</v>
      </c>
      <c r="I644" s="53" t="s">
        <v>1947</v>
      </c>
      <c r="J644" s="53" t="s">
        <v>423</v>
      </c>
      <c r="K644" s="53" t="s">
        <v>2431</v>
      </c>
      <c r="L644" s="53" t="s">
        <v>563</v>
      </c>
      <c r="M644" s="53" t="s">
        <v>15</v>
      </c>
      <c r="N644" s="53" t="s">
        <v>15</v>
      </c>
      <c r="O644" s="53" t="s">
        <v>15</v>
      </c>
    </row>
    <row r="645" spans="1:15" x14ac:dyDescent="0.25">
      <c r="A645" s="52" t="s">
        <v>4891</v>
      </c>
      <c r="B645" s="54" t="str">
        <f t="shared" si="10"/>
        <v>IC,,INTERSIL,LM723,DIP14</v>
      </c>
      <c r="C645" s="53" t="s">
        <v>15</v>
      </c>
      <c r="D645" s="53" t="s">
        <v>15</v>
      </c>
      <c r="E645" s="53" t="s">
        <v>15</v>
      </c>
      <c r="F645" s="53" t="s">
        <v>15</v>
      </c>
      <c r="G645" s="53"/>
      <c r="H645" s="53" t="s">
        <v>1819</v>
      </c>
      <c r="I645" s="53" t="s">
        <v>2066</v>
      </c>
      <c r="J645" s="53" t="s">
        <v>428</v>
      </c>
      <c r="K645" s="53" t="s">
        <v>2432</v>
      </c>
      <c r="L645" s="53" t="s">
        <v>563</v>
      </c>
      <c r="M645" s="53" t="s">
        <v>15</v>
      </c>
      <c r="N645" s="53" t="s">
        <v>15</v>
      </c>
      <c r="O645" s="53" t="s">
        <v>15</v>
      </c>
    </row>
    <row r="646" spans="1:15" x14ac:dyDescent="0.25">
      <c r="A646" s="52" t="s">
        <v>4892</v>
      </c>
      <c r="B646" s="54" t="str">
        <f t="shared" si="10"/>
        <v>IC,,NATSEMI,LM386,DIP8</v>
      </c>
      <c r="C646" s="53" t="s">
        <v>15</v>
      </c>
      <c r="D646" s="53" t="s">
        <v>15</v>
      </c>
      <c r="E646" s="53" t="s">
        <v>15</v>
      </c>
      <c r="F646" s="53" t="s">
        <v>15</v>
      </c>
      <c r="G646" s="53"/>
      <c r="H646" s="53" t="s">
        <v>1374</v>
      </c>
      <c r="I646" s="53" t="s">
        <v>2344</v>
      </c>
      <c r="J646" s="53" t="s">
        <v>423</v>
      </c>
      <c r="K646" s="53" t="s">
        <v>2433</v>
      </c>
      <c r="L646" s="53" t="s">
        <v>563</v>
      </c>
      <c r="M646" s="53" t="s">
        <v>15</v>
      </c>
      <c r="N646" s="53" t="s">
        <v>15</v>
      </c>
      <c r="O646" s="53" t="s">
        <v>15</v>
      </c>
    </row>
    <row r="647" spans="1:15" x14ac:dyDescent="0.25">
      <c r="A647" s="52" t="s">
        <v>4893</v>
      </c>
      <c r="B647" s="54" t="str">
        <f t="shared" si="10"/>
        <v>IC,,UBLOX,NEO-6M-0-001,MODULE BOARD UART</v>
      </c>
      <c r="C647" s="53" t="s">
        <v>15</v>
      </c>
      <c r="D647" s="53" t="s">
        <v>15</v>
      </c>
      <c r="E647" s="53" t="s">
        <v>15</v>
      </c>
      <c r="F647" s="53" t="s">
        <v>15</v>
      </c>
      <c r="G647" s="53"/>
      <c r="H647" s="53" t="s">
        <v>2434</v>
      </c>
      <c r="I647" s="53" t="s">
        <v>2435</v>
      </c>
      <c r="J647" s="53" t="s">
        <v>2436</v>
      </c>
      <c r="K647" s="53" t="s">
        <v>2437</v>
      </c>
      <c r="L647" s="53" t="s">
        <v>15</v>
      </c>
      <c r="M647" s="53" t="s">
        <v>15</v>
      </c>
      <c r="N647" s="53" t="s">
        <v>15</v>
      </c>
      <c r="O647" s="53" t="s">
        <v>15</v>
      </c>
    </row>
    <row r="648" spans="1:15" x14ac:dyDescent="0.25">
      <c r="A648" s="52" t="s">
        <v>4894</v>
      </c>
      <c r="B648" s="54" t="str">
        <f t="shared" si="10"/>
        <v>IC,,,NEO-6M-0-001,MODULE-BOARD SMALL UART PPS</v>
      </c>
      <c r="C648" s="53" t="s">
        <v>15</v>
      </c>
      <c r="D648" s="53" t="s">
        <v>15</v>
      </c>
      <c r="E648" s="53" t="s">
        <v>15</v>
      </c>
      <c r="F648" s="53" t="s">
        <v>15</v>
      </c>
      <c r="G648" s="53"/>
      <c r="H648" s="53" t="s">
        <v>15</v>
      </c>
      <c r="I648" s="53" t="s">
        <v>2435</v>
      </c>
      <c r="J648" s="53" t="s">
        <v>2438</v>
      </c>
      <c r="K648" s="53" t="s">
        <v>2437</v>
      </c>
      <c r="L648" s="53" t="s">
        <v>15</v>
      </c>
      <c r="M648" s="53" t="s">
        <v>15</v>
      </c>
      <c r="N648" s="53" t="s">
        <v>15</v>
      </c>
      <c r="O648" s="53" t="s">
        <v>15</v>
      </c>
    </row>
    <row r="649" spans="1:15" x14ac:dyDescent="0.25">
      <c r="A649" s="52" t="s">
        <v>4895</v>
      </c>
      <c r="B649" s="54" t="str">
        <f t="shared" si="10"/>
        <v>IC,,,NEO-6M-0-001,MODULE BOARD UART PPS</v>
      </c>
      <c r="C649" s="53" t="s">
        <v>15</v>
      </c>
      <c r="D649" s="53" t="s">
        <v>15</v>
      </c>
      <c r="E649" s="53" t="s">
        <v>15</v>
      </c>
      <c r="F649" s="53" t="s">
        <v>15</v>
      </c>
      <c r="G649" s="53"/>
      <c r="H649" s="53" t="s">
        <v>15</v>
      </c>
      <c r="I649" s="53" t="s">
        <v>2435</v>
      </c>
      <c r="J649" s="53" t="s">
        <v>2439</v>
      </c>
      <c r="K649" s="53" t="s">
        <v>2437</v>
      </c>
      <c r="L649" s="53" t="s">
        <v>15</v>
      </c>
      <c r="M649" s="53" t="s">
        <v>15</v>
      </c>
      <c r="N649" s="53" t="s">
        <v>15</v>
      </c>
      <c r="O649" s="53" t="s">
        <v>15</v>
      </c>
    </row>
    <row r="650" spans="1:15" x14ac:dyDescent="0.25">
      <c r="A650" s="52" t="s">
        <v>4896</v>
      </c>
      <c r="B650" s="54" t="str">
        <f t="shared" si="10"/>
        <v>IC,,,NEO-6M-0-001,MODULE</v>
      </c>
      <c r="C650" s="53" t="s">
        <v>15</v>
      </c>
      <c r="D650" s="53" t="s">
        <v>15</v>
      </c>
      <c r="E650" s="53" t="s">
        <v>15</v>
      </c>
      <c r="F650" s="53" t="s">
        <v>15</v>
      </c>
      <c r="G650" s="53"/>
      <c r="H650" s="53" t="s">
        <v>15</v>
      </c>
      <c r="I650" s="53" t="s">
        <v>2435</v>
      </c>
      <c r="J650" s="53" t="s">
        <v>1875</v>
      </c>
      <c r="K650" s="53" t="s">
        <v>2437</v>
      </c>
      <c r="L650" s="53" t="s">
        <v>15</v>
      </c>
      <c r="M650" s="53" t="s">
        <v>15</v>
      </c>
      <c r="N650" s="53" t="s">
        <v>15</v>
      </c>
      <c r="O650" s="53" t="s">
        <v>15</v>
      </c>
    </row>
    <row r="651" spans="1:15" x14ac:dyDescent="0.25">
      <c r="A651" s="52" t="s">
        <v>4897</v>
      </c>
      <c r="B651" s="54" t="str">
        <f t="shared" si="10"/>
        <v>IC,,LINEAR TECH,LTQW COULOMB COUNTER,MODULE</v>
      </c>
      <c r="C651" s="53" t="s">
        <v>15</v>
      </c>
      <c r="D651" s="53" t="s">
        <v>15</v>
      </c>
      <c r="E651" s="53" t="s">
        <v>15</v>
      </c>
      <c r="F651" s="53" t="s">
        <v>15</v>
      </c>
      <c r="G651" s="53"/>
      <c r="H651" s="53" t="s">
        <v>1626</v>
      </c>
      <c r="I651" s="53" t="s">
        <v>2440</v>
      </c>
      <c r="J651" s="53" t="s">
        <v>1875</v>
      </c>
      <c r="K651" s="53" t="s">
        <v>2441</v>
      </c>
      <c r="L651" s="53" t="s">
        <v>15</v>
      </c>
      <c r="M651" s="53" t="s">
        <v>15</v>
      </c>
      <c r="N651" s="53" t="s">
        <v>15</v>
      </c>
      <c r="O651" s="53" t="s">
        <v>15</v>
      </c>
    </row>
    <row r="652" spans="1:15" x14ac:dyDescent="0.25">
      <c r="A652" s="52" t="s">
        <v>4898</v>
      </c>
      <c r="B652" s="54" t="str">
        <f t="shared" si="10"/>
        <v>IC,,ESPRESSIF,ESP-M2-E,MODULE</v>
      </c>
      <c r="C652" s="53" t="s">
        <v>15</v>
      </c>
      <c r="D652" s="53" t="s">
        <v>15</v>
      </c>
      <c r="E652" s="53" t="s">
        <v>15</v>
      </c>
      <c r="F652" s="53" t="s">
        <v>15</v>
      </c>
      <c r="G652" s="53"/>
      <c r="H652" s="53" t="s">
        <v>4978</v>
      </c>
      <c r="I652" s="53" t="s">
        <v>2442</v>
      </c>
      <c r="J652" s="53" t="s">
        <v>1875</v>
      </c>
      <c r="K652" s="53" t="s">
        <v>2441</v>
      </c>
      <c r="L652" s="53" t="s">
        <v>15</v>
      </c>
      <c r="M652" s="53" t="s">
        <v>15</v>
      </c>
      <c r="N652" s="53" t="s">
        <v>15</v>
      </c>
      <c r="O652" s="53" t="s">
        <v>15</v>
      </c>
    </row>
    <row r="653" spans="1:15" x14ac:dyDescent="0.25">
      <c r="A653" s="52" t="s">
        <v>4899</v>
      </c>
      <c r="B653" s="54" t="str">
        <f t="shared" si="10"/>
        <v>IC,,BOSCH,BME280,MODULE</v>
      </c>
      <c r="C653" s="53" t="s">
        <v>15</v>
      </c>
      <c r="D653" s="53" t="s">
        <v>15</v>
      </c>
      <c r="E653" s="53" t="s">
        <v>15</v>
      </c>
      <c r="F653" s="53" t="s">
        <v>15</v>
      </c>
      <c r="G653" s="53"/>
      <c r="H653" s="53" t="s">
        <v>2443</v>
      </c>
      <c r="I653" s="53" t="s">
        <v>2444</v>
      </c>
      <c r="J653" s="53" t="s">
        <v>1875</v>
      </c>
      <c r="K653" s="53" t="s">
        <v>2441</v>
      </c>
      <c r="L653" s="53" t="s">
        <v>15</v>
      </c>
      <c r="M653" s="53" t="s">
        <v>15</v>
      </c>
      <c r="N653" s="53" t="s">
        <v>15</v>
      </c>
      <c r="O653" s="53" t="s">
        <v>15</v>
      </c>
    </row>
    <row r="654" spans="1:15" x14ac:dyDescent="0.25">
      <c r="A654" s="52" t="s">
        <v>4900</v>
      </c>
      <c r="B654" s="54" t="str">
        <f t="shared" si="10"/>
        <v>IC,,,GY-21P,MODULE</v>
      </c>
      <c r="C654" s="53" t="s">
        <v>15</v>
      </c>
      <c r="D654" s="53" t="s">
        <v>15</v>
      </c>
      <c r="E654" s="53" t="s">
        <v>15</v>
      </c>
      <c r="F654" s="53" t="s">
        <v>15</v>
      </c>
      <c r="G654" s="53"/>
      <c r="H654" s="53" t="s">
        <v>15</v>
      </c>
      <c r="I654" s="53" t="s">
        <v>2445</v>
      </c>
      <c r="J654" s="53" t="s">
        <v>1875</v>
      </c>
      <c r="K654" s="53" t="s">
        <v>2441</v>
      </c>
      <c r="L654" s="53" t="s">
        <v>15</v>
      </c>
      <c r="M654" s="53" t="s">
        <v>15</v>
      </c>
      <c r="N654" s="53" t="s">
        <v>15</v>
      </c>
      <c r="O654" s="53" t="s">
        <v>15</v>
      </c>
    </row>
    <row r="655" spans="1:15" x14ac:dyDescent="0.25">
      <c r="A655" s="52" t="s">
        <v>4901</v>
      </c>
      <c r="B655" s="54" t="str">
        <f t="shared" si="10"/>
        <v>IC,,,WT51822,MODULE</v>
      </c>
      <c r="C655" s="53" t="s">
        <v>15</v>
      </c>
      <c r="D655" s="53" t="s">
        <v>15</v>
      </c>
      <c r="E655" s="53" t="s">
        <v>15</v>
      </c>
      <c r="F655" s="53" t="s">
        <v>15</v>
      </c>
      <c r="G655" s="53"/>
      <c r="H655" s="53" t="s">
        <v>15</v>
      </c>
      <c r="I655" s="53" t="s">
        <v>2446</v>
      </c>
      <c r="J655" s="53" t="s">
        <v>1875</v>
      </c>
      <c r="K655" s="53" t="s">
        <v>2441</v>
      </c>
      <c r="L655" s="53" t="s">
        <v>15</v>
      </c>
      <c r="M655" s="53" t="s">
        <v>15</v>
      </c>
      <c r="N655" s="53" t="s">
        <v>15</v>
      </c>
      <c r="O655" s="53" t="s">
        <v>15</v>
      </c>
    </row>
    <row r="656" spans="1:15" x14ac:dyDescent="0.25">
      <c r="A656" s="52" t="s">
        <v>4902</v>
      </c>
      <c r="B656" s="54" t="str">
        <f t="shared" si="10"/>
        <v>IC,,,APDS-9960,MODULE</v>
      </c>
      <c r="C656" s="53" t="s">
        <v>15</v>
      </c>
      <c r="D656" s="53" t="s">
        <v>15</v>
      </c>
      <c r="E656" s="53" t="s">
        <v>15</v>
      </c>
      <c r="F656" s="53" t="s">
        <v>15</v>
      </c>
      <c r="G656" s="53"/>
      <c r="H656" s="53" t="s">
        <v>15</v>
      </c>
      <c r="I656" s="53" t="s">
        <v>2447</v>
      </c>
      <c r="J656" s="53" t="s">
        <v>1875</v>
      </c>
      <c r="K656" s="53" t="s">
        <v>2441</v>
      </c>
      <c r="L656" s="53" t="s">
        <v>15</v>
      </c>
      <c r="M656" s="53" t="s">
        <v>15</v>
      </c>
      <c r="N656" s="53" t="s">
        <v>15</v>
      </c>
      <c r="O656" s="53" t="s">
        <v>15</v>
      </c>
    </row>
    <row r="657" spans="1:15" x14ac:dyDescent="0.25">
      <c r="A657" s="52" t="s">
        <v>4903</v>
      </c>
      <c r="B657" s="54" t="str">
        <f t="shared" si="10"/>
        <v>IC,,NEOWAY,M590E,MODULE</v>
      </c>
      <c r="C657" s="53" t="s">
        <v>15</v>
      </c>
      <c r="D657" s="53" t="s">
        <v>15</v>
      </c>
      <c r="E657" s="53" t="s">
        <v>15</v>
      </c>
      <c r="F657" s="53" t="s">
        <v>15</v>
      </c>
      <c r="G657" s="53"/>
      <c r="H657" s="53" t="s">
        <v>2448</v>
      </c>
      <c r="I657" s="53" t="s">
        <v>2449</v>
      </c>
      <c r="J657" s="53" t="s">
        <v>1875</v>
      </c>
      <c r="K657" s="53" t="s">
        <v>2441</v>
      </c>
      <c r="L657" s="53" t="s">
        <v>15</v>
      </c>
      <c r="M657" s="53" t="s">
        <v>15</v>
      </c>
      <c r="N657" s="53" t="s">
        <v>15</v>
      </c>
      <c r="O657" s="53" t="s">
        <v>15</v>
      </c>
    </row>
    <row r="658" spans="1:15" x14ac:dyDescent="0.25">
      <c r="A658" s="52" t="s">
        <v>4904</v>
      </c>
      <c r="B658" s="54" t="str">
        <f t="shared" si="10"/>
        <v>IC,,TI,INA219,MODULE</v>
      </c>
      <c r="C658" s="53" t="s">
        <v>15</v>
      </c>
      <c r="D658" s="53" t="s">
        <v>15</v>
      </c>
      <c r="E658" s="53" t="s">
        <v>15</v>
      </c>
      <c r="F658" s="53" t="s">
        <v>15</v>
      </c>
      <c r="G658" s="53"/>
      <c r="H658" s="53" t="s">
        <v>1145</v>
      </c>
      <c r="I658" s="53" t="s">
        <v>2450</v>
      </c>
      <c r="J658" s="53" t="s">
        <v>1875</v>
      </c>
      <c r="K658" s="53" t="s">
        <v>2441</v>
      </c>
      <c r="L658" s="53" t="s">
        <v>15</v>
      </c>
      <c r="M658" s="53" t="s">
        <v>15</v>
      </c>
      <c r="N658" s="53" t="s">
        <v>15</v>
      </c>
      <c r="O658" s="53" t="s">
        <v>15</v>
      </c>
    </row>
    <row r="659" spans="1:15" x14ac:dyDescent="0.25">
      <c r="A659" s="52" t="s">
        <v>4905</v>
      </c>
      <c r="B659" s="54" t="str">
        <f t="shared" si="10"/>
        <v>IC,,WEMOS,D1 MINI,MODULE</v>
      </c>
      <c r="C659" s="53" t="s">
        <v>15</v>
      </c>
      <c r="D659" s="53" t="s">
        <v>15</v>
      </c>
      <c r="E659" s="53" t="s">
        <v>15</v>
      </c>
      <c r="F659" s="53" t="s">
        <v>15</v>
      </c>
      <c r="G659" s="53"/>
      <c r="H659" s="53" t="s">
        <v>2451</v>
      </c>
      <c r="I659" s="53" t="s">
        <v>2452</v>
      </c>
      <c r="J659" s="53" t="s">
        <v>1875</v>
      </c>
      <c r="K659" s="53" t="s">
        <v>2453</v>
      </c>
      <c r="L659" s="53" t="s">
        <v>15</v>
      </c>
      <c r="M659" s="53" t="s">
        <v>15</v>
      </c>
      <c r="N659" s="53" t="s">
        <v>15</v>
      </c>
      <c r="O659" s="53" t="s">
        <v>15</v>
      </c>
    </row>
    <row r="660" spans="1:15" x14ac:dyDescent="0.25">
      <c r="A660" s="52" t="s">
        <v>4906</v>
      </c>
      <c r="B660" s="54" t="str">
        <f t="shared" si="10"/>
        <v>IC,,,ESP8266 MOD AI-THINKER,MODULE</v>
      </c>
      <c r="C660" s="53" t="s">
        <v>15</v>
      </c>
      <c r="D660" s="53" t="s">
        <v>15</v>
      </c>
      <c r="E660" s="53" t="s">
        <v>15</v>
      </c>
      <c r="F660" s="53" t="s">
        <v>15</v>
      </c>
      <c r="G660" s="53"/>
      <c r="H660" s="53" t="s">
        <v>15</v>
      </c>
      <c r="I660" s="53" t="s">
        <v>2454</v>
      </c>
      <c r="J660" s="53" t="s">
        <v>1875</v>
      </c>
      <c r="K660" s="53" t="s">
        <v>2453</v>
      </c>
      <c r="L660" s="53" t="s">
        <v>15</v>
      </c>
      <c r="M660" s="53" t="s">
        <v>15</v>
      </c>
      <c r="N660" s="53" t="s">
        <v>15</v>
      </c>
      <c r="O660" s="53" t="s">
        <v>15</v>
      </c>
    </row>
    <row r="661" spans="1:15" x14ac:dyDescent="0.25">
      <c r="A661" s="52" t="s">
        <v>4907</v>
      </c>
      <c r="B661" s="54" t="str">
        <f t="shared" si="10"/>
        <v>IC,,ESPRESSIF,ESP-12S,MODULE</v>
      </c>
      <c r="C661" s="53" t="s">
        <v>15</v>
      </c>
      <c r="D661" s="53" t="s">
        <v>15</v>
      </c>
      <c r="E661" s="53" t="s">
        <v>15</v>
      </c>
      <c r="F661" s="53" t="s">
        <v>15</v>
      </c>
      <c r="G661" s="53"/>
      <c r="H661" s="53" t="s">
        <v>4978</v>
      </c>
      <c r="I661" s="53" t="s">
        <v>2455</v>
      </c>
      <c r="J661" s="53" t="s">
        <v>1875</v>
      </c>
      <c r="K661" s="53" t="s">
        <v>2453</v>
      </c>
      <c r="L661" s="53" t="s">
        <v>15</v>
      </c>
      <c r="M661" s="53" t="s">
        <v>15</v>
      </c>
      <c r="N661" s="53" t="s">
        <v>15</v>
      </c>
      <c r="O661" s="53" t="s">
        <v>15</v>
      </c>
    </row>
    <row r="662" spans="1:15" x14ac:dyDescent="0.25">
      <c r="A662" s="52" t="s">
        <v>4908</v>
      </c>
      <c r="B662" s="54" t="str">
        <f t="shared" si="10"/>
        <v>IC,,ESPRESSIF,ESP-12E,MODULE</v>
      </c>
      <c r="C662" s="53" t="s">
        <v>15</v>
      </c>
      <c r="D662" s="53" t="s">
        <v>15</v>
      </c>
      <c r="E662" s="53" t="s">
        <v>15</v>
      </c>
      <c r="F662" s="53" t="s">
        <v>15</v>
      </c>
      <c r="G662" s="53"/>
      <c r="H662" s="53" t="s">
        <v>4978</v>
      </c>
      <c r="I662" s="53" t="s">
        <v>2456</v>
      </c>
      <c r="J662" s="53" t="s">
        <v>1875</v>
      </c>
      <c r="K662" s="53" t="s">
        <v>2453</v>
      </c>
      <c r="L662" s="53" t="s">
        <v>15</v>
      </c>
      <c r="M662" s="53" t="s">
        <v>15</v>
      </c>
      <c r="N662" s="53" t="s">
        <v>15</v>
      </c>
      <c r="O662" s="53" t="s">
        <v>15</v>
      </c>
    </row>
    <row r="663" spans="1:15" x14ac:dyDescent="0.25">
      <c r="A663" s="52" t="s">
        <v>4909</v>
      </c>
      <c r="B663" s="54" t="str">
        <f t="shared" si="10"/>
        <v>IC,,NATIONAL,LP2992-1.8,SOT</v>
      </c>
      <c r="C663" s="53" t="s">
        <v>15</v>
      </c>
      <c r="D663" s="53" t="s">
        <v>15</v>
      </c>
      <c r="E663" s="53" t="s">
        <v>15</v>
      </c>
      <c r="F663" s="53" t="s">
        <v>15</v>
      </c>
      <c r="G663" s="53"/>
      <c r="H663" s="53" t="s">
        <v>1556</v>
      </c>
      <c r="I663" s="53" t="s">
        <v>2457</v>
      </c>
      <c r="J663" s="53" t="s">
        <v>2301</v>
      </c>
      <c r="K663" s="53" t="s">
        <v>2458</v>
      </c>
      <c r="L663" s="53" t="s">
        <v>15</v>
      </c>
      <c r="M663" s="53" t="s">
        <v>15</v>
      </c>
      <c r="N663" s="53" t="s">
        <v>15</v>
      </c>
      <c r="O663" s="53" t="s">
        <v>15</v>
      </c>
    </row>
    <row r="664" spans="1:15" x14ac:dyDescent="0.25">
      <c r="A664" s="52" t="s">
        <v>4910</v>
      </c>
      <c r="B664" s="54" t="str">
        <f t="shared" si="10"/>
        <v>IC,,SILABS,C8051F022,TQFP</v>
      </c>
      <c r="C664" s="53" t="s">
        <v>15</v>
      </c>
      <c r="D664" s="53" t="s">
        <v>15</v>
      </c>
      <c r="E664" s="53" t="s">
        <v>15</v>
      </c>
      <c r="F664" s="53" t="s">
        <v>15</v>
      </c>
      <c r="G664" s="53"/>
      <c r="H664" s="53" t="s">
        <v>1887</v>
      </c>
      <c r="I664" s="53" t="s">
        <v>2459</v>
      </c>
      <c r="J664" s="53" t="s">
        <v>2243</v>
      </c>
      <c r="K664" s="53" t="s">
        <v>2460</v>
      </c>
      <c r="L664" s="53" t="s">
        <v>15</v>
      </c>
      <c r="M664" s="53" t="s">
        <v>15</v>
      </c>
      <c r="N664" s="53" t="s">
        <v>15</v>
      </c>
      <c r="O664" s="53" t="s">
        <v>15</v>
      </c>
    </row>
    <row r="665" spans="1:15" x14ac:dyDescent="0.25">
      <c r="A665" s="52" t="s">
        <v>4911</v>
      </c>
      <c r="B665" s="54" t="str">
        <f t="shared" si="10"/>
        <v>IC,,CYPRESS,CY7C187,DIP</v>
      </c>
      <c r="C665" s="53" t="s">
        <v>15</v>
      </c>
      <c r="D665" s="53" t="s">
        <v>15</v>
      </c>
      <c r="E665" s="53" t="s">
        <v>15</v>
      </c>
      <c r="F665" s="53" t="s">
        <v>15</v>
      </c>
      <c r="G665" s="53"/>
      <c r="H665" s="53" t="s">
        <v>1917</v>
      </c>
      <c r="I665" s="53" t="s">
        <v>2461</v>
      </c>
      <c r="J665" s="53" t="s">
        <v>2325</v>
      </c>
      <c r="K665" s="53" t="s">
        <v>2462</v>
      </c>
      <c r="L665" s="53" t="s">
        <v>15</v>
      </c>
      <c r="M665" s="53" t="s">
        <v>15</v>
      </c>
      <c r="N665" s="53" t="s">
        <v>15</v>
      </c>
      <c r="O665" s="53" t="s">
        <v>15</v>
      </c>
    </row>
    <row r="666" spans="1:15" x14ac:dyDescent="0.25">
      <c r="A666" s="52" t="s">
        <v>4912</v>
      </c>
      <c r="B666" s="54" t="str">
        <f t="shared" si="10"/>
        <v>IC,,,SSP1117-3.3,SOT223</v>
      </c>
      <c r="C666" s="53" t="s">
        <v>15</v>
      </c>
      <c r="D666" s="53" t="s">
        <v>15</v>
      </c>
      <c r="E666" s="53" t="s">
        <v>15</v>
      </c>
      <c r="F666" s="53" t="s">
        <v>15</v>
      </c>
      <c r="G666" s="53"/>
      <c r="H666" s="53" t="s">
        <v>15</v>
      </c>
      <c r="I666" s="53" t="s">
        <v>2463</v>
      </c>
      <c r="J666" s="53" t="s">
        <v>1280</v>
      </c>
      <c r="K666" s="53" t="s">
        <v>2464</v>
      </c>
      <c r="L666" s="53" t="s">
        <v>15</v>
      </c>
      <c r="M666" s="53" t="s">
        <v>15</v>
      </c>
      <c r="N666" s="53" t="s">
        <v>15</v>
      </c>
      <c r="O666" s="53" t="s">
        <v>15</v>
      </c>
    </row>
    <row r="667" spans="1:15" x14ac:dyDescent="0.25">
      <c r="A667" s="52" t="s">
        <v>4913</v>
      </c>
      <c r="B667" s="54" t="str">
        <f t="shared" si="10"/>
        <v>IC,,,AI-THINKER A7 GPS GPRS,MODULE</v>
      </c>
      <c r="C667" s="53" t="s">
        <v>15</v>
      </c>
      <c r="D667" s="53" t="s">
        <v>15</v>
      </c>
      <c r="E667" s="53" t="s">
        <v>15</v>
      </c>
      <c r="F667" s="53" t="s">
        <v>15</v>
      </c>
      <c r="G667" s="53"/>
      <c r="H667" s="53" t="s">
        <v>15</v>
      </c>
      <c r="I667" s="53" t="s">
        <v>2465</v>
      </c>
      <c r="J667" s="53" t="s">
        <v>1875</v>
      </c>
      <c r="K667" s="53" t="s">
        <v>2466</v>
      </c>
      <c r="L667" s="53" t="s">
        <v>15</v>
      </c>
      <c r="M667" s="53" t="s">
        <v>15</v>
      </c>
      <c r="N667" s="53" t="s">
        <v>15</v>
      </c>
      <c r="O667" s="53" t="s">
        <v>15</v>
      </c>
    </row>
    <row r="668" spans="1:15" x14ac:dyDescent="0.25">
      <c r="A668" s="52" t="s">
        <v>4914</v>
      </c>
      <c r="B668" s="54" t="str">
        <f t="shared" si="10"/>
        <v>IC,,WISOL,SFM10R2,MODULE</v>
      </c>
      <c r="C668" s="53" t="s">
        <v>15</v>
      </c>
      <c r="D668" s="53" t="s">
        <v>15</v>
      </c>
      <c r="E668" s="53" t="s">
        <v>15</v>
      </c>
      <c r="F668" s="53" t="s">
        <v>15</v>
      </c>
      <c r="G668" s="53"/>
      <c r="H668" s="53" t="s">
        <v>2467</v>
      </c>
      <c r="I668" s="53" t="s">
        <v>2468</v>
      </c>
      <c r="J668" s="53" t="s">
        <v>1875</v>
      </c>
      <c r="K668" s="53" t="s">
        <v>2469</v>
      </c>
      <c r="L668" s="53" t="s">
        <v>15</v>
      </c>
      <c r="M668" s="53" t="s">
        <v>15</v>
      </c>
      <c r="N668" s="53" t="s">
        <v>15</v>
      </c>
      <c r="O668" s="53" t="s">
        <v>15</v>
      </c>
    </row>
    <row r="669" spans="1:15" x14ac:dyDescent="0.25">
      <c r="A669" s="52" t="s">
        <v>4915</v>
      </c>
      <c r="B669" s="54" t="str">
        <f t="shared" si="10"/>
        <v>IC,,ESPRESSIF,ESP-WROOM32,MODULE</v>
      </c>
      <c r="C669" s="53" t="s">
        <v>15</v>
      </c>
      <c r="D669" s="53" t="s">
        <v>15</v>
      </c>
      <c r="E669" s="53" t="s">
        <v>15</v>
      </c>
      <c r="F669" s="53" t="s">
        <v>15</v>
      </c>
      <c r="G669" s="53"/>
      <c r="H669" s="53" t="s">
        <v>4978</v>
      </c>
      <c r="I669" s="53" t="s">
        <v>2470</v>
      </c>
      <c r="J669" s="53" t="s">
        <v>1875</v>
      </c>
      <c r="K669" s="53" t="s">
        <v>2471</v>
      </c>
      <c r="L669" s="53" t="s">
        <v>15</v>
      </c>
      <c r="M669" s="53" t="s">
        <v>15</v>
      </c>
      <c r="N669" s="53" t="s">
        <v>15</v>
      </c>
      <c r="O669" s="53" t="s">
        <v>15</v>
      </c>
    </row>
    <row r="670" spans="1:15" x14ac:dyDescent="0.25">
      <c r="A670" s="52" t="s">
        <v>4916</v>
      </c>
      <c r="B670" s="54" t="str">
        <f t="shared" si="10"/>
        <v>IC,,,74HC132,DIP</v>
      </c>
      <c r="C670" s="53" t="s">
        <v>15</v>
      </c>
      <c r="D670" s="53" t="s">
        <v>15</v>
      </c>
      <c r="E670" s="53" t="s">
        <v>15</v>
      </c>
      <c r="F670" s="53" t="s">
        <v>15</v>
      </c>
      <c r="G670" s="53"/>
      <c r="H670" s="53" t="s">
        <v>15</v>
      </c>
      <c r="I670" s="53" t="s">
        <v>1385</v>
      </c>
      <c r="J670" s="53" t="s">
        <v>2325</v>
      </c>
      <c r="K670" s="53" t="s">
        <v>2472</v>
      </c>
      <c r="L670" s="53" t="s">
        <v>15</v>
      </c>
      <c r="M670" s="53" t="s">
        <v>15</v>
      </c>
      <c r="N670" s="53" t="s">
        <v>15</v>
      </c>
      <c r="O670" s="53" t="s">
        <v>15</v>
      </c>
    </row>
    <row r="671" spans="1:15" x14ac:dyDescent="0.25">
      <c r="A671" s="52" t="s">
        <v>4917</v>
      </c>
      <c r="B671" s="54" t="str">
        <f t="shared" si="10"/>
        <v>IC,,NATIONAL,LM385Z-1.2,TO92</v>
      </c>
      <c r="C671" s="53" t="s">
        <v>15</v>
      </c>
      <c r="D671" s="53" t="s">
        <v>15</v>
      </c>
      <c r="E671" s="53" t="s">
        <v>15</v>
      </c>
      <c r="F671" s="53" t="s">
        <v>15</v>
      </c>
      <c r="G671" s="53"/>
      <c r="H671" s="53" t="s">
        <v>1556</v>
      </c>
      <c r="I671" s="53" t="s">
        <v>1543</v>
      </c>
      <c r="J671" s="53" t="s">
        <v>1540</v>
      </c>
      <c r="K671" s="53" t="s">
        <v>2473</v>
      </c>
      <c r="L671" s="53" t="s">
        <v>61</v>
      </c>
      <c r="M671" s="53" t="s">
        <v>1544</v>
      </c>
      <c r="N671" s="53" t="s">
        <v>15</v>
      </c>
      <c r="O671" s="53" t="s">
        <v>15</v>
      </c>
    </row>
    <row r="672" spans="1:15" x14ac:dyDescent="0.25">
      <c r="A672" s="52" t="s">
        <v>4918</v>
      </c>
      <c r="B672" s="54" t="str">
        <f t="shared" si="10"/>
        <v>IC,,TI,LMC6062,DIP8</v>
      </c>
      <c r="C672" s="53" t="s">
        <v>15</v>
      </c>
      <c r="D672" s="53" t="s">
        <v>15</v>
      </c>
      <c r="E672" s="53" t="s">
        <v>15</v>
      </c>
      <c r="F672" s="53" t="s">
        <v>15</v>
      </c>
      <c r="G672" s="53"/>
      <c r="H672" s="53" t="s">
        <v>1145</v>
      </c>
      <c r="I672" s="53" t="s">
        <v>2474</v>
      </c>
      <c r="J672" s="53" t="s">
        <v>423</v>
      </c>
      <c r="K672" s="53" t="s">
        <v>2475</v>
      </c>
      <c r="L672" s="53" t="s">
        <v>15</v>
      </c>
      <c r="M672" s="53" t="s">
        <v>15</v>
      </c>
      <c r="N672" s="53" t="s">
        <v>15</v>
      </c>
      <c r="O672" s="53" t="s">
        <v>15</v>
      </c>
    </row>
    <row r="673" spans="1:15" x14ac:dyDescent="0.25">
      <c r="A673" s="52" t="s">
        <v>4919</v>
      </c>
      <c r="B673" s="54" t="str">
        <f t="shared" si="10"/>
        <v>IC,,TI,LM2904,DIP8</v>
      </c>
      <c r="C673" s="53" t="s">
        <v>15</v>
      </c>
      <c r="D673" s="53" t="s">
        <v>15</v>
      </c>
      <c r="E673" s="53" t="s">
        <v>15</v>
      </c>
      <c r="F673" s="53" t="s">
        <v>15</v>
      </c>
      <c r="G673" s="53"/>
      <c r="H673" s="53" t="s">
        <v>1145</v>
      </c>
      <c r="I673" s="53" t="s">
        <v>2476</v>
      </c>
      <c r="J673" s="53" t="s">
        <v>423</v>
      </c>
      <c r="K673" s="53" t="s">
        <v>2477</v>
      </c>
      <c r="L673" s="53" t="s">
        <v>15</v>
      </c>
      <c r="M673" s="53" t="s">
        <v>15</v>
      </c>
      <c r="N673" s="53" t="s">
        <v>15</v>
      </c>
      <c r="O673" s="53" t="s">
        <v>15</v>
      </c>
    </row>
    <row r="674" spans="1:15" x14ac:dyDescent="0.25">
      <c r="A674" s="52" t="s">
        <v>4920</v>
      </c>
      <c r="B674" s="54" t="str">
        <f t="shared" si="10"/>
        <v>IC,,TI,LF412,DIP8</v>
      </c>
      <c r="C674" s="53" t="s">
        <v>15</v>
      </c>
      <c r="D674" s="53" t="s">
        <v>15</v>
      </c>
      <c r="E674" s="53" t="s">
        <v>15</v>
      </c>
      <c r="F674" s="53" t="s">
        <v>15</v>
      </c>
      <c r="G674" s="53"/>
      <c r="H674" s="53" t="s">
        <v>1145</v>
      </c>
      <c r="I674" s="53" t="s">
        <v>1554</v>
      </c>
      <c r="J674" s="53" t="s">
        <v>423</v>
      </c>
      <c r="K674" s="53" t="s">
        <v>2478</v>
      </c>
      <c r="L674" s="53" t="s">
        <v>15</v>
      </c>
      <c r="M674" s="53" t="s">
        <v>15</v>
      </c>
      <c r="N674" s="53" t="s">
        <v>15</v>
      </c>
      <c r="O674" s="53" t="s">
        <v>15</v>
      </c>
    </row>
    <row r="675" spans="1:15" x14ac:dyDescent="0.25">
      <c r="A675" s="52" t="s">
        <v>4921</v>
      </c>
      <c r="B675" s="54" t="str">
        <f t="shared" si="10"/>
        <v>IC,,ST,74HC244,DIP20</v>
      </c>
      <c r="C675" s="53" t="s">
        <v>15</v>
      </c>
      <c r="D675" s="53" t="s">
        <v>15</v>
      </c>
      <c r="E675" s="53" t="s">
        <v>15</v>
      </c>
      <c r="F675" s="53" t="s">
        <v>15</v>
      </c>
      <c r="G675" s="53"/>
      <c r="H675" s="53" t="s">
        <v>807</v>
      </c>
      <c r="I675" s="53" t="s">
        <v>1709</v>
      </c>
      <c r="J675" s="53" t="s">
        <v>440</v>
      </c>
      <c r="K675" s="53" t="s">
        <v>2479</v>
      </c>
      <c r="L675" s="53" t="s">
        <v>15</v>
      </c>
      <c r="M675" s="53" t="s">
        <v>15</v>
      </c>
      <c r="N675" s="53" t="s">
        <v>15</v>
      </c>
      <c r="O675" s="53" t="s">
        <v>15</v>
      </c>
    </row>
    <row r="676" spans="1:15" x14ac:dyDescent="0.25">
      <c r="A676" s="52" t="s">
        <v>4922</v>
      </c>
      <c r="B676" s="54" t="str">
        <f t="shared" si="10"/>
        <v>IC,,ON,74HC14,DIP14</v>
      </c>
      <c r="C676" s="53" t="s">
        <v>15</v>
      </c>
      <c r="D676" s="53" t="s">
        <v>15</v>
      </c>
      <c r="E676" s="53" t="s">
        <v>15</v>
      </c>
      <c r="F676" s="53" t="s">
        <v>15</v>
      </c>
      <c r="G676" s="53"/>
      <c r="H676" s="53" t="s">
        <v>1076</v>
      </c>
      <c r="I676" s="53" t="s">
        <v>1703</v>
      </c>
      <c r="J676" s="53" t="s">
        <v>428</v>
      </c>
      <c r="K676" s="53" t="s">
        <v>2480</v>
      </c>
      <c r="L676" s="53" t="s">
        <v>15</v>
      </c>
      <c r="M676" s="53" t="s">
        <v>15</v>
      </c>
      <c r="N676" s="53" t="s">
        <v>15</v>
      </c>
      <c r="O676" s="53" t="s">
        <v>15</v>
      </c>
    </row>
    <row r="677" spans="1:15" x14ac:dyDescent="0.25">
      <c r="A677" s="52" t="s">
        <v>4923</v>
      </c>
      <c r="B677" s="54" t="str">
        <f t="shared" si="10"/>
        <v>IC,,SEEQ,DQ2817A,DIP28</v>
      </c>
      <c r="C677" s="53" t="s">
        <v>15</v>
      </c>
      <c r="D677" s="53" t="s">
        <v>15</v>
      </c>
      <c r="E677" s="53" t="s">
        <v>15</v>
      </c>
      <c r="F677" s="53" t="s">
        <v>15</v>
      </c>
      <c r="G677" s="53"/>
      <c r="H677" s="53" t="s">
        <v>2481</v>
      </c>
      <c r="I677" s="53" t="s">
        <v>2482</v>
      </c>
      <c r="J677" s="53" t="s">
        <v>1803</v>
      </c>
      <c r="K677" s="53" t="s">
        <v>2483</v>
      </c>
      <c r="L677" s="53" t="s">
        <v>15</v>
      </c>
      <c r="M677" s="53" t="s">
        <v>15</v>
      </c>
      <c r="N677" s="53" t="s">
        <v>15</v>
      </c>
      <c r="O677" s="53" t="s">
        <v>15</v>
      </c>
    </row>
    <row r="678" spans="1:15" x14ac:dyDescent="0.25">
      <c r="A678" s="52" t="s">
        <v>4924</v>
      </c>
      <c r="B678" s="54" t="str">
        <f t="shared" si="10"/>
        <v>IC,,TOSHIBA,TC55257,DIP28</v>
      </c>
      <c r="C678" s="53" t="s">
        <v>15</v>
      </c>
      <c r="D678" s="53" t="s">
        <v>15</v>
      </c>
      <c r="E678" s="53" t="s">
        <v>15</v>
      </c>
      <c r="F678" s="53" t="s">
        <v>15</v>
      </c>
      <c r="G678" s="53"/>
      <c r="H678" s="53" t="s">
        <v>1021</v>
      </c>
      <c r="I678" s="53" t="s">
        <v>2484</v>
      </c>
      <c r="J678" s="53" t="s">
        <v>1803</v>
      </c>
      <c r="K678" s="53" t="s">
        <v>2485</v>
      </c>
      <c r="L678" s="53" t="s">
        <v>15</v>
      </c>
      <c r="M678" s="53" t="s">
        <v>15</v>
      </c>
      <c r="N678" s="53" t="s">
        <v>15</v>
      </c>
      <c r="O678" s="53" t="s">
        <v>15</v>
      </c>
    </row>
    <row r="679" spans="1:15" x14ac:dyDescent="0.25">
      <c r="A679" s="52" t="s">
        <v>4925</v>
      </c>
      <c r="B679" s="54" t="str">
        <f t="shared" si="10"/>
        <v>IC,,SAMSUNG,74HCTLS01,DIP14</v>
      </c>
      <c r="C679" s="53" t="s">
        <v>15</v>
      </c>
      <c r="D679" s="53" t="s">
        <v>15</v>
      </c>
      <c r="E679" s="53" t="s">
        <v>15</v>
      </c>
      <c r="F679" s="53" t="s">
        <v>15</v>
      </c>
      <c r="G679" s="53"/>
      <c r="H679" s="53" t="s">
        <v>1515</v>
      </c>
      <c r="I679" s="53" t="s">
        <v>2486</v>
      </c>
      <c r="J679" s="53" t="s">
        <v>428</v>
      </c>
      <c r="K679" s="53" t="s">
        <v>2487</v>
      </c>
      <c r="L679" s="53" t="s">
        <v>15</v>
      </c>
      <c r="M679" s="53" t="s">
        <v>15</v>
      </c>
      <c r="N679" s="53" t="s">
        <v>15</v>
      </c>
      <c r="O679" s="53" t="s">
        <v>15</v>
      </c>
    </row>
    <row r="680" spans="1:15" x14ac:dyDescent="0.25">
      <c r="A680" s="52" t="s">
        <v>4926</v>
      </c>
      <c r="B680" s="54" t="str">
        <f t="shared" si="10"/>
        <v>IC,,TI,LM4041C12,TO92</v>
      </c>
      <c r="C680" s="53" t="s">
        <v>15</v>
      </c>
      <c r="D680" s="53" t="s">
        <v>15</v>
      </c>
      <c r="E680" s="53" t="s">
        <v>15</v>
      </c>
      <c r="F680" s="53" t="s">
        <v>15</v>
      </c>
      <c r="G680" s="53"/>
      <c r="H680" s="53" t="s">
        <v>1145</v>
      </c>
      <c r="I680" s="53" t="s">
        <v>2488</v>
      </c>
      <c r="J680" s="53" t="s">
        <v>1540</v>
      </c>
      <c r="K680" s="53" t="s">
        <v>2489</v>
      </c>
      <c r="L680" s="53" t="s">
        <v>15</v>
      </c>
      <c r="M680" s="53" t="s">
        <v>15</v>
      </c>
      <c r="N680" s="53" t="s">
        <v>15</v>
      </c>
      <c r="O680" s="53" t="s">
        <v>15</v>
      </c>
    </row>
    <row r="681" spans="1:15" x14ac:dyDescent="0.25">
      <c r="A681" s="52" t="s">
        <v>4927</v>
      </c>
      <c r="B681" s="54" t="str">
        <f t="shared" si="10"/>
        <v>IC,,MICROCHIP,PIC16F15355,DIP</v>
      </c>
      <c r="C681" s="53" t="s">
        <v>15</v>
      </c>
      <c r="D681" s="53" t="s">
        <v>15</v>
      </c>
      <c r="E681" s="53" t="s">
        <v>15</v>
      </c>
      <c r="F681" s="53" t="s">
        <v>15</v>
      </c>
      <c r="G681" s="53"/>
      <c r="H681" s="53" t="s">
        <v>939</v>
      </c>
      <c r="I681" s="53" t="s">
        <v>2490</v>
      </c>
      <c r="J681" s="53" t="s">
        <v>2325</v>
      </c>
      <c r="K681" s="53" t="s">
        <v>2491</v>
      </c>
      <c r="L681" s="53" t="s">
        <v>15</v>
      </c>
      <c r="M681" s="53" t="s">
        <v>15</v>
      </c>
      <c r="N681" s="53" t="s">
        <v>15</v>
      </c>
      <c r="O681" s="53" t="s">
        <v>15</v>
      </c>
    </row>
    <row r="682" spans="1:15" x14ac:dyDescent="0.25">
      <c r="A682" s="52" t="s">
        <v>4928</v>
      </c>
      <c r="B682" s="54" t="str">
        <f t="shared" si="10"/>
        <v>IC,,MICROCHIP,PIC16F1717,DIP40</v>
      </c>
      <c r="C682" s="53" t="s">
        <v>15</v>
      </c>
      <c r="D682" s="53" t="s">
        <v>15</v>
      </c>
      <c r="E682" s="53" t="s">
        <v>15</v>
      </c>
      <c r="F682" s="53" t="s">
        <v>15</v>
      </c>
      <c r="G682" s="53"/>
      <c r="H682" s="53" t="s">
        <v>939</v>
      </c>
      <c r="I682" s="53" t="s">
        <v>2492</v>
      </c>
      <c r="J682" s="53" t="s">
        <v>1771</v>
      </c>
      <c r="K682" s="53" t="s">
        <v>2493</v>
      </c>
      <c r="L682" s="53" t="s">
        <v>15</v>
      </c>
      <c r="M682" s="53" t="s">
        <v>15</v>
      </c>
      <c r="N682" s="53" t="s">
        <v>15</v>
      </c>
      <c r="O682" s="53" t="s">
        <v>15</v>
      </c>
    </row>
    <row r="683" spans="1:15" x14ac:dyDescent="0.25">
      <c r="A683" s="52" t="s">
        <v>4929</v>
      </c>
      <c r="B683" s="54" t="str">
        <f t="shared" si="10"/>
        <v>IC,,NATIONAL,LM285Z-1.2,TO92</v>
      </c>
      <c r="C683" s="53" t="s">
        <v>15</v>
      </c>
      <c r="D683" s="53" t="s">
        <v>15</v>
      </c>
      <c r="E683" s="53" t="s">
        <v>15</v>
      </c>
      <c r="F683" s="53" t="s">
        <v>15</v>
      </c>
      <c r="G683" s="53"/>
      <c r="H683" s="53" t="s">
        <v>1556</v>
      </c>
      <c r="I683" s="53" t="s">
        <v>2494</v>
      </c>
      <c r="J683" s="53" t="s">
        <v>1540</v>
      </c>
      <c r="K683" s="53" t="s">
        <v>2495</v>
      </c>
      <c r="L683" s="53" t="s">
        <v>15</v>
      </c>
      <c r="M683" s="53" t="s">
        <v>15</v>
      </c>
      <c r="N683" s="53" t="s">
        <v>15</v>
      </c>
      <c r="O683" s="53" t="s">
        <v>15</v>
      </c>
    </row>
    <row r="684" spans="1:15" x14ac:dyDescent="0.25">
      <c r="A684" s="52" t="s">
        <v>4930</v>
      </c>
      <c r="B684" s="54" t="str">
        <f t="shared" si="10"/>
        <v>IC,,MICROCHIP,PIC16F1513,DIP</v>
      </c>
      <c r="C684" s="53" t="s">
        <v>15</v>
      </c>
      <c r="D684" s="53" t="s">
        <v>15</v>
      </c>
      <c r="E684" s="53" t="s">
        <v>15</v>
      </c>
      <c r="F684" s="53" t="s">
        <v>15</v>
      </c>
      <c r="G684" s="53"/>
      <c r="H684" s="53" t="s">
        <v>939</v>
      </c>
      <c r="I684" s="53" t="s">
        <v>2496</v>
      </c>
      <c r="J684" s="53" t="s">
        <v>2325</v>
      </c>
      <c r="K684" s="53" t="s">
        <v>2497</v>
      </c>
      <c r="L684" s="53" t="s">
        <v>15</v>
      </c>
      <c r="M684" s="53" t="s">
        <v>15</v>
      </c>
      <c r="N684" s="53" t="s">
        <v>15</v>
      </c>
      <c r="O684" s="53" t="s">
        <v>15</v>
      </c>
    </row>
    <row r="685" spans="1:15" x14ac:dyDescent="0.25">
      <c r="A685" s="52" t="s">
        <v>4931</v>
      </c>
      <c r="B685" s="54" t="str">
        <f t="shared" si="10"/>
        <v>IC,,,74HC4094,DIP</v>
      </c>
      <c r="C685" s="53" t="s">
        <v>15</v>
      </c>
      <c r="D685" s="53" t="s">
        <v>15</v>
      </c>
      <c r="E685" s="53" t="s">
        <v>15</v>
      </c>
      <c r="F685" s="53" t="s">
        <v>15</v>
      </c>
      <c r="G685" s="53"/>
      <c r="H685" s="53" t="s">
        <v>15</v>
      </c>
      <c r="I685" s="53" t="s">
        <v>2498</v>
      </c>
      <c r="J685" s="53" t="s">
        <v>2325</v>
      </c>
      <c r="K685" s="53" t="s">
        <v>2499</v>
      </c>
      <c r="L685" s="53" t="s">
        <v>15</v>
      </c>
      <c r="M685" s="53" t="s">
        <v>15</v>
      </c>
      <c r="N685" s="53" t="s">
        <v>15</v>
      </c>
      <c r="O685" s="53" t="s">
        <v>15</v>
      </c>
    </row>
    <row r="686" spans="1:15" x14ac:dyDescent="0.25">
      <c r="A686" s="52" t="s">
        <v>4932</v>
      </c>
      <c r="B686" s="54" t="str">
        <f t="shared" si="10"/>
        <v>IC,,LINEAR TECH,LM334Z LT65-5201,TO92</v>
      </c>
      <c r="C686" s="53" t="s">
        <v>15</v>
      </c>
      <c r="D686" s="53" t="s">
        <v>15</v>
      </c>
      <c r="E686" s="53" t="s">
        <v>15</v>
      </c>
      <c r="F686" s="53" t="s">
        <v>15</v>
      </c>
      <c r="G686" s="53"/>
      <c r="H686" s="53" t="s">
        <v>1626</v>
      </c>
      <c r="I686" s="53" t="s">
        <v>2500</v>
      </c>
      <c r="J686" s="53" t="s">
        <v>1540</v>
      </c>
      <c r="K686" s="53" t="s">
        <v>2501</v>
      </c>
      <c r="L686" s="53" t="s">
        <v>15</v>
      </c>
      <c r="M686" s="53" t="s">
        <v>15</v>
      </c>
      <c r="N686" s="53" t="s">
        <v>15</v>
      </c>
      <c r="O686" s="53" t="s">
        <v>15</v>
      </c>
    </row>
    <row r="687" spans="1:15" x14ac:dyDescent="0.25">
      <c r="A687" s="52" t="s">
        <v>4933</v>
      </c>
      <c r="B687" s="54" t="str">
        <f t="shared" si="10"/>
        <v>IC,,SILABS,C8051F022,TQFP100</v>
      </c>
      <c r="C687" s="53" t="s">
        <v>15</v>
      </c>
      <c r="D687" s="53" t="s">
        <v>15</v>
      </c>
      <c r="E687" s="53" t="s">
        <v>15</v>
      </c>
      <c r="F687" s="53" t="s">
        <v>15</v>
      </c>
      <c r="G687" s="53"/>
      <c r="H687" s="53" t="s">
        <v>1887</v>
      </c>
      <c r="I687" s="53" t="s">
        <v>2459</v>
      </c>
      <c r="J687" s="53" t="s">
        <v>2502</v>
      </c>
      <c r="K687" s="53" t="s">
        <v>2503</v>
      </c>
      <c r="L687" s="53" t="s">
        <v>15</v>
      </c>
      <c r="M687" s="53" t="s">
        <v>15</v>
      </c>
      <c r="N687" s="53" t="s">
        <v>15</v>
      </c>
      <c r="O687" s="53" t="s">
        <v>15</v>
      </c>
    </row>
    <row r="688" spans="1:15" x14ac:dyDescent="0.25">
      <c r="A688" s="52" t="s">
        <v>4934</v>
      </c>
      <c r="B688" s="54" t="str">
        <f t="shared" si="10"/>
        <v>IC,,ABLIC,S89230,MSOP8</v>
      </c>
      <c r="C688" s="53" t="s">
        <v>15</v>
      </c>
      <c r="D688" s="53" t="s">
        <v>15</v>
      </c>
      <c r="E688" s="53" t="s">
        <v>15</v>
      </c>
      <c r="F688" s="53" t="s">
        <v>15</v>
      </c>
      <c r="G688" s="53"/>
      <c r="H688" s="53" t="s">
        <v>2504</v>
      </c>
      <c r="I688" s="53" t="s">
        <v>2505</v>
      </c>
      <c r="J688" s="53" t="s">
        <v>1563</v>
      </c>
      <c r="K688" s="53" t="s">
        <v>2506</v>
      </c>
      <c r="L688" s="53" t="s">
        <v>15</v>
      </c>
      <c r="M688" s="53" t="s">
        <v>15</v>
      </c>
      <c r="N688" s="53" t="s">
        <v>15</v>
      </c>
      <c r="O688" s="53" t="s">
        <v>15</v>
      </c>
    </row>
    <row r="689" spans="1:15" x14ac:dyDescent="0.25">
      <c r="A689" s="52" t="s">
        <v>4935</v>
      </c>
      <c r="B689" s="54" t="str">
        <f t="shared" si="10"/>
        <v>IC,,NEC,D4364,DIP</v>
      </c>
      <c r="C689" s="53" t="s">
        <v>15</v>
      </c>
      <c r="D689" s="53" t="s">
        <v>15</v>
      </c>
      <c r="E689" s="53" t="s">
        <v>15</v>
      </c>
      <c r="F689" s="53" t="s">
        <v>15</v>
      </c>
      <c r="G689" s="53"/>
      <c r="H689" s="53" t="s">
        <v>1661</v>
      </c>
      <c r="I689" s="53" t="s">
        <v>2507</v>
      </c>
      <c r="J689" s="53" t="s">
        <v>2325</v>
      </c>
      <c r="K689" s="53" t="s">
        <v>2508</v>
      </c>
      <c r="L689" s="53" t="s">
        <v>15</v>
      </c>
      <c r="M689" s="53" t="s">
        <v>15</v>
      </c>
      <c r="N689" s="53" t="s">
        <v>15</v>
      </c>
      <c r="O689" s="53" t="s">
        <v>15</v>
      </c>
    </row>
    <row r="690" spans="1:15" x14ac:dyDescent="0.25">
      <c r="A690" s="52" t="s">
        <v>4936</v>
      </c>
      <c r="B690" s="54" t="str">
        <f t="shared" si="10"/>
        <v>IC,,NXP,74HCT139,SO16</v>
      </c>
      <c r="C690" s="53" t="s">
        <v>15</v>
      </c>
      <c r="D690" s="53" t="s">
        <v>15</v>
      </c>
      <c r="E690" s="53" t="s">
        <v>15</v>
      </c>
      <c r="F690" s="53" t="s">
        <v>15</v>
      </c>
      <c r="G690" s="53"/>
      <c r="H690" s="53" t="s">
        <v>699</v>
      </c>
      <c r="I690" s="53" t="s">
        <v>2509</v>
      </c>
      <c r="J690" s="53" t="s">
        <v>1261</v>
      </c>
      <c r="K690" s="53" t="s">
        <v>2510</v>
      </c>
      <c r="L690" s="53" t="s">
        <v>15</v>
      </c>
      <c r="M690" s="53" t="s">
        <v>15</v>
      </c>
      <c r="N690" s="53" t="s">
        <v>15</v>
      </c>
      <c r="O690" s="53" t="s">
        <v>15</v>
      </c>
    </row>
    <row r="691" spans="1:15" x14ac:dyDescent="0.25">
      <c r="A691" s="52" t="s">
        <v>4937</v>
      </c>
      <c r="B691" s="54" t="str">
        <f t="shared" si="10"/>
        <v>IC,,KEITHLEY,AD536,MISC PARTS</v>
      </c>
      <c r="C691" s="53" t="s">
        <v>15</v>
      </c>
      <c r="D691" s="53" t="s">
        <v>15</v>
      </c>
      <c r="E691" s="53" t="s">
        <v>15</v>
      </c>
      <c r="F691" s="53" t="s">
        <v>15</v>
      </c>
      <c r="G691" s="53"/>
      <c r="H691" s="53" t="s">
        <v>2511</v>
      </c>
      <c r="I691" s="53" t="s">
        <v>2512</v>
      </c>
      <c r="J691" s="53" t="s">
        <v>2348</v>
      </c>
      <c r="K691" s="53" t="s">
        <v>2513</v>
      </c>
      <c r="L691" s="53" t="s">
        <v>15</v>
      </c>
      <c r="M691" s="53" t="s">
        <v>15</v>
      </c>
      <c r="N691" s="53" t="s">
        <v>15</v>
      </c>
      <c r="O691" s="53" t="s">
        <v>15</v>
      </c>
    </row>
    <row r="692" spans="1:15" x14ac:dyDescent="0.25">
      <c r="A692" s="52" t="s">
        <v>4938</v>
      </c>
      <c r="B692" s="54" t="str">
        <f t="shared" si="10"/>
        <v>IC,,ANALOG DEVICES,AD542,</v>
      </c>
      <c r="C692" s="53" t="s">
        <v>15</v>
      </c>
      <c r="D692" s="53" t="s">
        <v>15</v>
      </c>
      <c r="E692" s="53" t="s">
        <v>15</v>
      </c>
      <c r="F692" s="53" t="s">
        <v>15</v>
      </c>
      <c r="G692" s="53"/>
      <c r="H692" s="53" t="s">
        <v>1240</v>
      </c>
      <c r="I692" s="53" t="s">
        <v>2514</v>
      </c>
      <c r="J692" s="53" t="s">
        <v>15</v>
      </c>
      <c r="K692" s="53" t="s">
        <v>2513</v>
      </c>
      <c r="L692" s="53" t="s">
        <v>15</v>
      </c>
      <c r="M692" s="53" t="s">
        <v>15</v>
      </c>
      <c r="N692" s="53" t="s">
        <v>15</v>
      </c>
      <c r="O692" s="53" t="s">
        <v>15</v>
      </c>
    </row>
    <row r="693" spans="1:15" x14ac:dyDescent="0.25">
      <c r="A693" s="52" t="s">
        <v>4939</v>
      </c>
      <c r="B693" s="54" t="str">
        <f t="shared" si="10"/>
        <v>IC,,INTERSIL,ICL8052,</v>
      </c>
      <c r="C693" s="53" t="s">
        <v>15</v>
      </c>
      <c r="D693" s="53" t="s">
        <v>15</v>
      </c>
      <c r="E693" s="53" t="s">
        <v>15</v>
      </c>
      <c r="F693" s="53" t="s">
        <v>15</v>
      </c>
      <c r="G693" s="53"/>
      <c r="H693" s="53" t="s">
        <v>1819</v>
      </c>
      <c r="I693" s="53" t="s">
        <v>2515</v>
      </c>
      <c r="J693" s="53" t="s">
        <v>15</v>
      </c>
      <c r="K693" s="53" t="s">
        <v>2513</v>
      </c>
      <c r="L693" s="53" t="s">
        <v>15</v>
      </c>
      <c r="M693" s="53" t="s">
        <v>15</v>
      </c>
      <c r="N693" s="53" t="s">
        <v>15</v>
      </c>
      <c r="O693" s="53" t="s">
        <v>15</v>
      </c>
    </row>
    <row r="694" spans="1:15" x14ac:dyDescent="0.25">
      <c r="A694" s="52" t="s">
        <v>4940</v>
      </c>
      <c r="B694" s="54" t="str">
        <f t="shared" si="10"/>
        <v>IC,,INTERSIL,ICL71C03,</v>
      </c>
      <c r="C694" s="53" t="s">
        <v>15</v>
      </c>
      <c r="D694" s="53" t="s">
        <v>15</v>
      </c>
      <c r="E694" s="53" t="s">
        <v>15</v>
      </c>
      <c r="F694" s="53" t="s">
        <v>15</v>
      </c>
      <c r="G694" s="53"/>
      <c r="H694" s="53" t="s">
        <v>1819</v>
      </c>
      <c r="I694" s="53" t="s">
        <v>2516</v>
      </c>
      <c r="J694" s="53" t="s">
        <v>15</v>
      </c>
      <c r="K694" s="53" t="s">
        <v>2513</v>
      </c>
      <c r="L694" s="53" t="s">
        <v>15</v>
      </c>
      <c r="M694" s="53" t="s">
        <v>15</v>
      </c>
      <c r="N694" s="53" t="s">
        <v>15</v>
      </c>
      <c r="O694" s="53" t="s">
        <v>15</v>
      </c>
    </row>
    <row r="695" spans="1:15" x14ac:dyDescent="0.25">
      <c r="A695" s="52" t="s">
        <v>4941</v>
      </c>
      <c r="B695" s="54" t="str">
        <f t="shared" si="10"/>
        <v>IC,,NATIONAL,LM320T-12,TO220</v>
      </c>
      <c r="C695" s="53" t="s">
        <v>15</v>
      </c>
      <c r="D695" s="53" t="s">
        <v>15</v>
      </c>
      <c r="E695" s="53" t="s">
        <v>15</v>
      </c>
      <c r="F695" s="53" t="s">
        <v>15</v>
      </c>
      <c r="G695" s="53"/>
      <c r="H695" s="53" t="s">
        <v>1556</v>
      </c>
      <c r="I695" s="53" t="s">
        <v>2517</v>
      </c>
      <c r="J695" s="53" t="s">
        <v>780</v>
      </c>
      <c r="K695" s="53" t="s">
        <v>2518</v>
      </c>
      <c r="L695" s="53" t="s">
        <v>15</v>
      </c>
      <c r="M695" s="53" t="s">
        <v>15</v>
      </c>
      <c r="N695" s="53" t="s">
        <v>15</v>
      </c>
      <c r="O695" s="53" t="s">
        <v>15</v>
      </c>
    </row>
    <row r="696" spans="1:15" x14ac:dyDescent="0.25">
      <c r="A696" s="52" t="s">
        <v>4942</v>
      </c>
      <c r="B696" s="54" t="str">
        <f t="shared" si="10"/>
        <v>IC,,TI,TL780-05,TO220</v>
      </c>
      <c r="C696" s="53" t="s">
        <v>15</v>
      </c>
      <c r="D696" s="53" t="s">
        <v>15</v>
      </c>
      <c r="E696" s="53" t="s">
        <v>15</v>
      </c>
      <c r="F696" s="53" t="s">
        <v>15</v>
      </c>
      <c r="G696" s="53"/>
      <c r="H696" s="53" t="s">
        <v>1145</v>
      </c>
      <c r="I696" s="53" t="s">
        <v>2519</v>
      </c>
      <c r="J696" s="53" t="s">
        <v>780</v>
      </c>
      <c r="K696" s="53" t="s">
        <v>2520</v>
      </c>
      <c r="L696" s="53" t="s">
        <v>15</v>
      </c>
      <c r="M696" s="53" t="s">
        <v>15</v>
      </c>
      <c r="N696" s="53" t="s">
        <v>15</v>
      </c>
      <c r="O696" s="53" t="s">
        <v>15</v>
      </c>
    </row>
    <row r="697" spans="1:15" x14ac:dyDescent="0.25">
      <c r="A697" s="52" t="s">
        <v>4943</v>
      </c>
      <c r="B697" s="54" t="str">
        <f t="shared" si="10"/>
        <v>IC,,XILINX,X17256,DIP8</v>
      </c>
      <c r="C697" s="53" t="s">
        <v>15</v>
      </c>
      <c r="D697" s="53" t="s">
        <v>15</v>
      </c>
      <c r="E697" s="53" t="s">
        <v>15</v>
      </c>
      <c r="F697" s="53" t="s">
        <v>15</v>
      </c>
      <c r="G697" s="53"/>
      <c r="H697" s="53" t="s">
        <v>1311</v>
      </c>
      <c r="I697" s="53" t="s">
        <v>2521</v>
      </c>
      <c r="J697" s="53" t="s">
        <v>423</v>
      </c>
      <c r="K697" s="53" t="s">
        <v>2522</v>
      </c>
      <c r="L697" s="53" t="s">
        <v>15</v>
      </c>
      <c r="M697" s="53" t="s">
        <v>15</v>
      </c>
      <c r="N697" s="53" t="s">
        <v>15</v>
      </c>
      <c r="O697" s="53" t="s">
        <v>15</v>
      </c>
    </row>
    <row r="698" spans="1:15" x14ac:dyDescent="0.25">
      <c r="A698" s="52" t="s">
        <v>4944</v>
      </c>
      <c r="B698" s="54" t="str">
        <f t="shared" si="10"/>
        <v>IC,,INTEL,87C51RC24,DIP40</v>
      </c>
      <c r="C698" s="53" t="s">
        <v>15</v>
      </c>
      <c r="D698" s="53" t="s">
        <v>15</v>
      </c>
      <c r="E698" s="53" t="s">
        <v>15</v>
      </c>
      <c r="F698" s="53" t="s">
        <v>15</v>
      </c>
      <c r="G698" s="53"/>
      <c r="H698" s="53" t="s">
        <v>1914</v>
      </c>
      <c r="I698" s="53" t="s">
        <v>2523</v>
      </c>
      <c r="J698" s="53" t="s">
        <v>1771</v>
      </c>
      <c r="K698" s="53" t="s">
        <v>2524</v>
      </c>
      <c r="L698" s="53" t="s">
        <v>15</v>
      </c>
      <c r="M698" s="53" t="s">
        <v>15</v>
      </c>
      <c r="N698" s="53" t="s">
        <v>15</v>
      </c>
      <c r="O698" s="53" t="s">
        <v>15</v>
      </c>
    </row>
    <row r="699" spans="1:15" x14ac:dyDescent="0.25">
      <c r="A699" s="52" t="s">
        <v>4945</v>
      </c>
      <c r="B699" s="54" t="str">
        <f t="shared" si="10"/>
        <v>IC,,NATIONAL,LM399,</v>
      </c>
      <c r="C699" s="53" t="s">
        <v>15</v>
      </c>
      <c r="D699" s="53" t="s">
        <v>15</v>
      </c>
      <c r="E699" s="53" t="s">
        <v>15</v>
      </c>
      <c r="F699" s="53" t="s">
        <v>15</v>
      </c>
      <c r="G699" s="53"/>
      <c r="H699" s="53" t="s">
        <v>1556</v>
      </c>
      <c r="I699" s="53" t="s">
        <v>2525</v>
      </c>
      <c r="J699" s="53" t="s">
        <v>15</v>
      </c>
      <c r="K699" s="53" t="s">
        <v>2526</v>
      </c>
      <c r="L699" s="53" t="s">
        <v>15</v>
      </c>
      <c r="M699" s="53" t="s">
        <v>15</v>
      </c>
      <c r="N699" s="53" t="s">
        <v>15</v>
      </c>
      <c r="O699" s="53" t="s">
        <v>15</v>
      </c>
    </row>
    <row r="700" spans="1:15" x14ac:dyDescent="0.25">
      <c r="A700" s="52" t="s">
        <v>4946</v>
      </c>
      <c r="B700" s="54" t="str">
        <f t="shared" si="10"/>
        <v>IC,,TI,TXB0106,TSSOP</v>
      </c>
      <c r="C700" s="53" t="s">
        <v>15</v>
      </c>
      <c r="D700" s="53" t="s">
        <v>15</v>
      </c>
      <c r="E700" s="53" t="s">
        <v>15</v>
      </c>
      <c r="F700" s="53" t="s">
        <v>15</v>
      </c>
      <c r="G700" s="53"/>
      <c r="H700" s="53" t="s">
        <v>1145</v>
      </c>
      <c r="I700" s="53" t="s">
        <v>2527</v>
      </c>
      <c r="J700" s="53" t="s">
        <v>1830</v>
      </c>
      <c r="K700" s="53" t="s">
        <v>2528</v>
      </c>
      <c r="L700" s="53" t="s">
        <v>15</v>
      </c>
      <c r="M700" s="53" t="s">
        <v>15</v>
      </c>
      <c r="N700" s="53" t="s">
        <v>15</v>
      </c>
      <c r="O700" s="53" t="s">
        <v>15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2B9-9FC6-481F-B58C-7A1B34AEA123}">
  <dimension ref="A1:P9"/>
  <sheetViews>
    <sheetView workbookViewId="0">
      <selection activeCell="I1" sqref="I1:I1048576"/>
    </sheetView>
  </sheetViews>
  <sheetFormatPr defaultColWidth="61" defaultRowHeight="15" x14ac:dyDescent="0.25"/>
  <cols>
    <col min="1" max="1" width="10" style="3" bestFit="1" customWidth="1"/>
    <col min="2" max="2" width="59.28515625" style="3" bestFit="1" customWidth="1"/>
    <col min="3" max="3" width="10.140625" style="3" bestFit="1" customWidth="1"/>
    <col min="4" max="4" width="11.42578125" style="3" bestFit="1" customWidth="1"/>
    <col min="5" max="5" width="12.140625" style="3" bestFit="1" customWidth="1"/>
    <col min="6" max="6" width="13.5703125" style="3" bestFit="1" customWidth="1"/>
    <col min="7" max="7" width="12.85546875" style="3" bestFit="1" customWidth="1"/>
    <col min="8" max="8" width="21.5703125" style="3" bestFit="1" customWidth="1"/>
    <col min="9" max="9" width="5.85546875" style="3" bestFit="1" customWidth="1"/>
    <col min="10" max="10" width="6.42578125" style="3" bestFit="1" customWidth="1"/>
    <col min="11" max="11" width="16" style="3" bestFit="1" customWidth="1"/>
    <col min="12" max="12" width="8.5703125" style="3" bestFit="1" customWidth="1"/>
    <col min="13" max="13" width="8" style="3" bestFit="1" customWidth="1"/>
    <col min="14" max="14" width="7.85546875" style="3" bestFit="1" customWidth="1"/>
    <col min="15" max="15" width="8.42578125" style="3" bestFit="1" customWidth="1"/>
    <col min="16" max="16" width="8.140625" style="3" bestFit="1" customWidth="1"/>
    <col min="17" max="16384" width="61" style="3"/>
  </cols>
  <sheetData>
    <row r="1" spans="1:16" s="27" customForma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1096</v>
      </c>
      <c r="J1" s="26" t="s">
        <v>4071</v>
      </c>
      <c r="K1" s="26" t="s">
        <v>4014</v>
      </c>
      <c r="L1" s="26" t="s">
        <v>14</v>
      </c>
      <c r="M1" s="27" t="s">
        <v>61</v>
      </c>
      <c r="N1" s="27" t="s">
        <v>1971</v>
      </c>
      <c r="O1" s="27" t="s">
        <v>1120</v>
      </c>
      <c r="P1" s="27" t="s">
        <v>521</v>
      </c>
    </row>
    <row r="2" spans="1:16" x14ac:dyDescent="0.25">
      <c r="A2" s="10" t="s">
        <v>3945</v>
      </c>
      <c r="B2" s="11" t="str">
        <f t="shared" ref="B2:B9" si="0">_xlfn.CONCAT("INDUCTOR,",J2,",",I2,",",K2,",",G2,",",H2)</f>
        <v>INDUCTOR,22uH,1.45A,SHIELDED,SHUN XIANG,SMNR6028-220MT</v>
      </c>
      <c r="C2" s="11" t="s">
        <v>15</v>
      </c>
      <c r="D2" s="11" t="s">
        <v>15</v>
      </c>
      <c r="E2" s="11" t="s">
        <v>15</v>
      </c>
      <c r="F2" s="11" t="s">
        <v>15</v>
      </c>
      <c r="G2" s="11" t="s">
        <v>4983</v>
      </c>
      <c r="H2" s="11" t="s">
        <v>2529</v>
      </c>
      <c r="I2" s="11" t="s">
        <v>4982</v>
      </c>
      <c r="J2" s="11" t="s">
        <v>4981</v>
      </c>
      <c r="K2" s="11" t="s">
        <v>4980</v>
      </c>
      <c r="L2" s="11" t="s">
        <v>2530</v>
      </c>
      <c r="P2" s="3" t="s">
        <v>4984</v>
      </c>
    </row>
    <row r="3" spans="1:16" x14ac:dyDescent="0.25">
      <c r="A3" s="10" t="s">
        <v>3946</v>
      </c>
      <c r="B3" s="11" t="str">
        <f t="shared" si="0"/>
        <v>INDUCTOR,100uH,2.65A,SHIELDED,COILCRAFT,RFS1317-104KL</v>
      </c>
      <c r="C3" s="11" t="s">
        <v>15</v>
      </c>
      <c r="D3" s="11" t="s">
        <v>15</v>
      </c>
      <c r="E3" s="11" t="s">
        <v>15</v>
      </c>
      <c r="F3" s="11" t="s">
        <v>15</v>
      </c>
      <c r="G3" s="11" t="s">
        <v>4985</v>
      </c>
      <c r="H3" s="11" t="s">
        <v>2531</v>
      </c>
      <c r="I3" s="11" t="s">
        <v>2532</v>
      </c>
      <c r="J3" s="11" t="s">
        <v>2533</v>
      </c>
      <c r="K3" s="11" t="s">
        <v>4980</v>
      </c>
      <c r="L3" s="11" t="s">
        <v>2534</v>
      </c>
    </row>
    <row r="4" spans="1:16" x14ac:dyDescent="0.25">
      <c r="A4" s="10" t="s">
        <v>3947</v>
      </c>
      <c r="B4" s="11" t="str">
        <f t="shared" si="0"/>
        <v>INDUCTOR,33uH,2.3A,SHIELDED,TDK,TSL1112RA-330K2R3-PF</v>
      </c>
      <c r="C4" s="11" t="s">
        <v>15</v>
      </c>
      <c r="D4" s="11" t="s">
        <v>15</v>
      </c>
      <c r="E4" s="11" t="s">
        <v>15</v>
      </c>
      <c r="F4" s="11" t="s">
        <v>15</v>
      </c>
      <c r="G4" s="11" t="s">
        <v>252</v>
      </c>
      <c r="H4" s="11" t="s">
        <v>2535</v>
      </c>
      <c r="I4" s="11" t="s">
        <v>2536</v>
      </c>
      <c r="J4" s="11" t="s">
        <v>2537</v>
      </c>
      <c r="K4" s="11" t="s">
        <v>4980</v>
      </c>
      <c r="L4" s="11" t="s">
        <v>525</v>
      </c>
    </row>
    <row r="5" spans="1:16" x14ac:dyDescent="0.25">
      <c r="A5" s="10" t="s">
        <v>3948</v>
      </c>
      <c r="B5" s="11" t="str">
        <f t="shared" si="0"/>
        <v>INDUCTOR,4u7,1.57,SHIELDED,TDK,VLCF4028T-4R7N1R5</v>
      </c>
      <c r="C5" s="11" t="s">
        <v>15</v>
      </c>
      <c r="D5" s="11" t="s">
        <v>15</v>
      </c>
      <c r="E5" s="11" t="s">
        <v>15</v>
      </c>
      <c r="F5" s="11" t="s">
        <v>15</v>
      </c>
      <c r="G5" s="11" t="s">
        <v>252</v>
      </c>
      <c r="H5" s="11" t="s">
        <v>2538</v>
      </c>
      <c r="I5" s="11" t="s">
        <v>2539</v>
      </c>
      <c r="J5" s="11" t="s">
        <v>90</v>
      </c>
      <c r="K5" s="11" t="s">
        <v>4980</v>
      </c>
      <c r="L5" s="11" t="s">
        <v>2540</v>
      </c>
    </row>
    <row r="6" spans="1:16" x14ac:dyDescent="0.25">
      <c r="A6" s="10" t="s">
        <v>3949</v>
      </c>
      <c r="B6" s="11" t="str">
        <f t="shared" si="0"/>
        <v>INDUCTOR,4u7,1.4A,SHIELDED,BOURNS,SRN4026-4R7MCT-ND</v>
      </c>
      <c r="C6" s="11" t="s">
        <v>15</v>
      </c>
      <c r="D6" s="11" t="s">
        <v>15</v>
      </c>
      <c r="E6" s="11" t="s">
        <v>15</v>
      </c>
      <c r="F6" s="11" t="s">
        <v>15</v>
      </c>
      <c r="G6" s="11" t="s">
        <v>2846</v>
      </c>
      <c r="H6" s="11" t="s">
        <v>4986</v>
      </c>
      <c r="I6" s="11" t="s">
        <v>4987</v>
      </c>
      <c r="J6" s="11" t="s">
        <v>90</v>
      </c>
      <c r="K6" s="11" t="s">
        <v>4980</v>
      </c>
      <c r="L6" s="11" t="s">
        <v>2541</v>
      </c>
    </row>
    <row r="7" spans="1:16" x14ac:dyDescent="0.25">
      <c r="A7" s="10" t="s">
        <v>3950</v>
      </c>
      <c r="B7" s="11" t="str">
        <f t="shared" si="0"/>
        <v>INDUCTOR,1u5,3A,SHIELDED,MURATA,LQH5BPN1R5NT0L</v>
      </c>
      <c r="C7" s="11" t="s">
        <v>15</v>
      </c>
      <c r="D7" s="11" t="s">
        <v>15</v>
      </c>
      <c r="E7" s="11" t="s">
        <v>15</v>
      </c>
      <c r="F7" s="11" t="s">
        <v>15</v>
      </c>
      <c r="G7" s="11" t="s">
        <v>4244</v>
      </c>
      <c r="H7" s="11" t="s">
        <v>2542</v>
      </c>
      <c r="I7" s="11" t="s">
        <v>843</v>
      </c>
      <c r="J7" s="11" t="s">
        <v>4988</v>
      </c>
      <c r="K7" s="11" t="s">
        <v>4980</v>
      </c>
      <c r="L7" s="11" t="s">
        <v>2543</v>
      </c>
    </row>
    <row r="8" spans="1:16" x14ac:dyDescent="0.25">
      <c r="A8" s="10" t="s">
        <v>3951</v>
      </c>
      <c r="B8" s="11" t="str">
        <f t="shared" si="0"/>
        <v>INDUCTOR,47uH,1.2A,SHIELDED,BAO CHENG,BCNR6045-470M</v>
      </c>
      <c r="C8" s="11" t="s">
        <v>15</v>
      </c>
      <c r="D8" s="11" t="s">
        <v>15</v>
      </c>
      <c r="E8" s="11" t="s">
        <v>15</v>
      </c>
      <c r="F8" s="11" t="s">
        <v>15</v>
      </c>
      <c r="G8" s="11" t="s">
        <v>2544</v>
      </c>
      <c r="H8" s="11" t="s">
        <v>2545</v>
      </c>
      <c r="I8" s="11" t="s">
        <v>2546</v>
      </c>
      <c r="J8" s="11" t="s">
        <v>2547</v>
      </c>
      <c r="K8" s="11" t="s">
        <v>4980</v>
      </c>
      <c r="L8" s="11" t="s">
        <v>2549</v>
      </c>
      <c r="P8" s="11" t="s">
        <v>2548</v>
      </c>
    </row>
    <row r="9" spans="1:16" x14ac:dyDescent="0.25">
      <c r="A9" s="10" t="s">
        <v>3952</v>
      </c>
      <c r="B9" s="11" t="str">
        <f t="shared" si="0"/>
        <v>INDUCTOR,47uH,1.15A,SHIELDED,SXN,SMNR5028-470MT</v>
      </c>
      <c r="C9" s="11" t="s">
        <v>15</v>
      </c>
      <c r="D9" s="11" t="s">
        <v>15</v>
      </c>
      <c r="E9" s="11" t="s">
        <v>15</v>
      </c>
      <c r="F9" s="11" t="s">
        <v>15</v>
      </c>
      <c r="G9" s="11" t="s">
        <v>2550</v>
      </c>
      <c r="H9" s="11" t="s">
        <v>2551</v>
      </c>
      <c r="I9" s="11" t="s">
        <v>2552</v>
      </c>
      <c r="J9" s="11" t="s">
        <v>2547</v>
      </c>
      <c r="K9" s="11" t="s">
        <v>4980</v>
      </c>
      <c r="L9" s="11" t="s">
        <v>2554</v>
      </c>
      <c r="P9" s="11" t="s">
        <v>2553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9F15-9808-49F5-9EBC-99AE1B5C1743}">
  <dimension ref="A1:R62"/>
  <sheetViews>
    <sheetView topLeftCell="A13" workbookViewId="0">
      <selection activeCell="I38" sqref="I38"/>
    </sheetView>
  </sheetViews>
  <sheetFormatPr defaultColWidth="93" defaultRowHeight="15" x14ac:dyDescent="0.25"/>
  <cols>
    <col min="1" max="1" width="10.28515625" style="3" bestFit="1" customWidth="1"/>
    <col min="2" max="2" width="71.85546875" bestFit="1" customWidth="1"/>
    <col min="3" max="3" width="24.85546875" style="3" bestFit="1" customWidth="1"/>
    <col min="4" max="4" width="22.85546875" style="3" bestFit="1" customWidth="1"/>
    <col min="5" max="5" width="12.140625" style="3" bestFit="1" customWidth="1"/>
    <col min="6" max="6" width="13.5703125" style="3" bestFit="1" customWidth="1"/>
    <col min="7" max="7" width="14" style="3" bestFit="1" customWidth="1"/>
    <col min="8" max="8" width="29.7109375" style="3" bestFit="1" customWidth="1"/>
    <col min="9" max="9" width="13.140625" style="3" bestFit="1" customWidth="1"/>
    <col min="10" max="10" width="27" style="3" bestFit="1" customWidth="1"/>
    <col min="11" max="11" width="20.140625" style="3" bestFit="1" customWidth="1"/>
    <col min="12" max="12" width="13.140625" style="3" bestFit="1" customWidth="1"/>
    <col min="13" max="13" width="32.140625" style="3" bestFit="1" customWidth="1"/>
    <col min="14" max="14" width="8" style="3" bestFit="1" customWidth="1"/>
    <col min="15" max="15" width="11.140625" style="3" bestFit="1" customWidth="1"/>
    <col min="16" max="16" width="8.42578125" style="3" bestFit="1" customWidth="1"/>
    <col min="17" max="17" width="5.140625" style="3" bestFit="1" customWidth="1"/>
    <col min="18" max="18" width="4.5703125" style="3" bestFit="1" customWidth="1"/>
    <col min="19" max="16384" width="93" style="3"/>
  </cols>
  <sheetData>
    <row r="1" spans="1:18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4014</v>
      </c>
      <c r="K1" s="28" t="s">
        <v>2555</v>
      </c>
      <c r="L1" s="28" t="s">
        <v>30</v>
      </c>
      <c r="M1" s="28" t="s">
        <v>14</v>
      </c>
      <c r="N1" s="27" t="s">
        <v>61</v>
      </c>
      <c r="O1" s="27" t="s">
        <v>1971</v>
      </c>
      <c r="P1" s="27" t="s">
        <v>1120</v>
      </c>
      <c r="Q1" s="27" t="s">
        <v>521</v>
      </c>
      <c r="R1" s="58" t="s">
        <v>2629</v>
      </c>
    </row>
    <row r="2" spans="1:18" x14ac:dyDescent="0.25">
      <c r="A2" s="55" t="s">
        <v>3953</v>
      </c>
      <c r="B2" s="57" t="str">
        <f>_xlfn.CONCAT("OPTO,",J2,",",K2,",",G2,",",H2,",",I2)</f>
        <v>OPTO,LED,RED/GREEN,LITEON,LTL907HK-TA,SOT23</v>
      </c>
      <c r="C2" s="56" t="s">
        <v>15</v>
      </c>
      <c r="D2" s="56" t="s">
        <v>684</v>
      </c>
      <c r="E2" s="56" t="s">
        <v>15</v>
      </c>
      <c r="F2" s="56" t="s">
        <v>15</v>
      </c>
      <c r="G2" s="56" t="s">
        <v>2556</v>
      </c>
      <c r="H2" s="56" t="s">
        <v>2557</v>
      </c>
      <c r="I2" s="56" t="s">
        <v>693</v>
      </c>
      <c r="J2" s="56" t="s">
        <v>1012</v>
      </c>
      <c r="K2" s="56" t="s">
        <v>2558</v>
      </c>
      <c r="L2" s="56" t="s">
        <v>15</v>
      </c>
      <c r="M2" s="56" t="s">
        <v>2559</v>
      </c>
    </row>
    <row r="3" spans="1:18" x14ac:dyDescent="0.25">
      <c r="A3" s="55" t="s">
        <v>3954</v>
      </c>
      <c r="B3" s="57" t="str">
        <f t="shared" ref="B3:B62" si="0">_xlfn.CONCAT("OPTO,",J3,",",K3,",",G3,",",H3,",",I3)</f>
        <v>OPTO,LED,WHITE,CREE,JB2835 3-V,2835</v>
      </c>
      <c r="C3" s="56" t="s">
        <v>2560</v>
      </c>
      <c r="D3" s="56" t="s">
        <v>684</v>
      </c>
      <c r="E3" s="56" t="s">
        <v>15</v>
      </c>
      <c r="F3" s="56" t="s">
        <v>15</v>
      </c>
      <c r="G3" s="56" t="s">
        <v>2561</v>
      </c>
      <c r="H3" s="56" t="s">
        <v>2562</v>
      </c>
      <c r="I3" s="56" t="s">
        <v>2563</v>
      </c>
      <c r="J3" s="56" t="s">
        <v>1012</v>
      </c>
      <c r="K3" s="56" t="s">
        <v>2564</v>
      </c>
      <c r="L3" s="56" t="s">
        <v>15</v>
      </c>
      <c r="M3" s="56" t="s">
        <v>2565</v>
      </c>
    </row>
    <row r="4" spans="1:18" x14ac:dyDescent="0.25">
      <c r="A4" s="55" t="s">
        <v>3955</v>
      </c>
      <c r="B4" s="57" t="str">
        <f t="shared" si="0"/>
        <v>OPTO,LED,GREEN,VISHAY,,PLCC2</v>
      </c>
      <c r="C4" s="56" t="s">
        <v>2566</v>
      </c>
      <c r="D4" s="56" t="s">
        <v>684</v>
      </c>
      <c r="E4" s="56" t="s">
        <v>15</v>
      </c>
      <c r="F4" s="56" t="s">
        <v>15</v>
      </c>
      <c r="G4" s="56" t="s">
        <v>176</v>
      </c>
      <c r="H4" s="56" t="s">
        <v>15</v>
      </c>
      <c r="I4" s="56" t="s">
        <v>2567</v>
      </c>
      <c r="J4" s="56" t="s">
        <v>1012</v>
      </c>
      <c r="K4" s="56" t="s">
        <v>2568</v>
      </c>
      <c r="L4" s="56" t="s">
        <v>15</v>
      </c>
      <c r="M4" s="56" t="s">
        <v>2569</v>
      </c>
    </row>
    <row r="5" spans="1:18" x14ac:dyDescent="0.25">
      <c r="A5" s="55" t="s">
        <v>3956</v>
      </c>
      <c r="B5" s="57" t="str">
        <f t="shared" si="0"/>
        <v>OPTO,LED,YELLOW,VISHAY,,PLCC2</v>
      </c>
      <c r="C5" s="56" t="s">
        <v>2570</v>
      </c>
      <c r="D5" s="56" t="s">
        <v>684</v>
      </c>
      <c r="E5" s="56" t="s">
        <v>15</v>
      </c>
      <c r="F5" s="56" t="s">
        <v>15</v>
      </c>
      <c r="G5" s="56" t="s">
        <v>176</v>
      </c>
      <c r="H5" s="56" t="s">
        <v>15</v>
      </c>
      <c r="I5" s="56" t="s">
        <v>2567</v>
      </c>
      <c r="J5" s="56" t="s">
        <v>1012</v>
      </c>
      <c r="K5" s="56" t="s">
        <v>2571</v>
      </c>
      <c r="L5" s="56" t="s">
        <v>15</v>
      </c>
      <c r="M5" s="56" t="s">
        <v>2572</v>
      </c>
    </row>
    <row r="6" spans="1:18" x14ac:dyDescent="0.25">
      <c r="A6" s="55" t="s">
        <v>3957</v>
      </c>
      <c r="B6" s="57" t="str">
        <f t="shared" si="0"/>
        <v>OPTO,LED,RED,VISHAY,,PLCC2</v>
      </c>
      <c r="C6" s="56" t="s">
        <v>2573</v>
      </c>
      <c r="D6" s="56" t="s">
        <v>684</v>
      </c>
      <c r="E6" s="56" t="s">
        <v>15</v>
      </c>
      <c r="F6" s="56" t="s">
        <v>15</v>
      </c>
      <c r="G6" s="56" t="s">
        <v>176</v>
      </c>
      <c r="H6" s="56" t="s">
        <v>15</v>
      </c>
      <c r="I6" s="56" t="s">
        <v>2567</v>
      </c>
      <c r="J6" s="56" t="s">
        <v>1012</v>
      </c>
      <c r="K6" s="56" t="s">
        <v>2574</v>
      </c>
      <c r="L6" s="56" t="s">
        <v>15</v>
      </c>
      <c r="M6" s="56" t="s">
        <v>2575</v>
      </c>
    </row>
    <row r="7" spans="1:18" x14ac:dyDescent="0.25">
      <c r="A7" s="55" t="s">
        <v>3958</v>
      </c>
      <c r="B7" s="57" t="str">
        <f t="shared" si="0"/>
        <v>OPTO,LED,RED HI-EFF,VISHAY,,PLCC2</v>
      </c>
      <c r="C7" s="56" t="s">
        <v>2573</v>
      </c>
      <c r="D7" s="56" t="s">
        <v>684</v>
      </c>
      <c r="E7" s="56" t="s">
        <v>15</v>
      </c>
      <c r="F7" s="56" t="s">
        <v>15</v>
      </c>
      <c r="G7" s="56" t="s">
        <v>176</v>
      </c>
      <c r="H7" s="56" t="s">
        <v>15</v>
      </c>
      <c r="I7" s="56" t="s">
        <v>2567</v>
      </c>
      <c r="J7" s="56" t="s">
        <v>1012</v>
      </c>
      <c r="K7" s="56" t="s">
        <v>2576</v>
      </c>
      <c r="L7" s="56" t="s">
        <v>15</v>
      </c>
      <c r="M7" s="56" t="s">
        <v>2577</v>
      </c>
    </row>
    <row r="8" spans="1:18" x14ac:dyDescent="0.25">
      <c r="A8" s="55" t="s">
        <v>3959</v>
      </c>
      <c r="B8" s="57" t="str">
        <f t="shared" si="0"/>
        <v>OPTO,LED,BLUE CLEAR,MISC,MISC,TH3MM</v>
      </c>
      <c r="C8" s="56" t="s">
        <v>2578</v>
      </c>
      <c r="D8" s="56" t="s">
        <v>684</v>
      </c>
      <c r="E8" s="56" t="s">
        <v>15</v>
      </c>
      <c r="F8" s="56" t="s">
        <v>15</v>
      </c>
      <c r="G8" s="56" t="s">
        <v>466</v>
      </c>
      <c r="H8" s="56" t="s">
        <v>466</v>
      </c>
      <c r="I8" s="56" t="s">
        <v>2580</v>
      </c>
      <c r="J8" s="56" t="s">
        <v>1012</v>
      </c>
      <c r="K8" s="56" t="s">
        <v>2579</v>
      </c>
      <c r="L8" s="56" t="s">
        <v>15</v>
      </c>
      <c r="M8" s="56" t="s">
        <v>2581</v>
      </c>
    </row>
    <row r="9" spans="1:18" x14ac:dyDescent="0.25">
      <c r="A9" s="55" t="s">
        <v>3960</v>
      </c>
      <c r="B9" s="57" t="str">
        <f t="shared" si="0"/>
        <v>OPTO,LED,GREEN CLEAR,MISC,MISC,TH3MM</v>
      </c>
      <c r="C9" s="56" t="s">
        <v>2566</v>
      </c>
      <c r="D9" s="56" t="s">
        <v>684</v>
      </c>
      <c r="E9" s="56" t="s">
        <v>15</v>
      </c>
      <c r="F9" s="56" t="s">
        <v>15</v>
      </c>
      <c r="G9" s="56" t="s">
        <v>466</v>
      </c>
      <c r="H9" s="56" t="s">
        <v>466</v>
      </c>
      <c r="I9" s="56" t="s">
        <v>2580</v>
      </c>
      <c r="J9" s="56" t="s">
        <v>1012</v>
      </c>
      <c r="K9" s="56" t="s">
        <v>2582</v>
      </c>
      <c r="L9" s="56" t="s">
        <v>15</v>
      </c>
      <c r="M9" s="56" t="s">
        <v>2583</v>
      </c>
    </row>
    <row r="10" spans="1:18" x14ac:dyDescent="0.25">
      <c r="A10" s="55" t="s">
        <v>3961</v>
      </c>
      <c r="B10" s="57" t="str">
        <f t="shared" si="0"/>
        <v>OPTO,LED,RED CLEAR,MISC,MISC,TH3MM</v>
      </c>
      <c r="C10" s="56" t="s">
        <v>2573</v>
      </c>
      <c r="D10" s="56" t="s">
        <v>684</v>
      </c>
      <c r="E10" s="56" t="s">
        <v>15</v>
      </c>
      <c r="F10" s="56" t="s">
        <v>15</v>
      </c>
      <c r="G10" s="56" t="s">
        <v>466</v>
      </c>
      <c r="H10" s="56" t="s">
        <v>466</v>
      </c>
      <c r="I10" s="56" t="s">
        <v>2580</v>
      </c>
      <c r="J10" s="56" t="s">
        <v>1012</v>
      </c>
      <c r="K10" s="56" t="s">
        <v>2584</v>
      </c>
      <c r="L10" s="56" t="s">
        <v>15</v>
      </c>
      <c r="M10" s="56" t="s">
        <v>2585</v>
      </c>
    </row>
    <row r="11" spans="1:18" x14ac:dyDescent="0.25">
      <c r="A11" s="55" t="s">
        <v>3962</v>
      </c>
      <c r="B11" s="57" t="str">
        <f t="shared" si="0"/>
        <v>OPTO,LED,WHITE CLEAR,MISC,MISC,TH3MM</v>
      </c>
      <c r="C11" s="56" t="s">
        <v>2560</v>
      </c>
      <c r="D11" s="56" t="s">
        <v>684</v>
      </c>
      <c r="E11" s="56" t="s">
        <v>15</v>
      </c>
      <c r="F11" s="56" t="s">
        <v>15</v>
      </c>
      <c r="G11" s="56" t="s">
        <v>466</v>
      </c>
      <c r="H11" s="56" t="s">
        <v>466</v>
      </c>
      <c r="I11" s="56" t="s">
        <v>2580</v>
      </c>
      <c r="J11" s="56" t="s">
        <v>1012</v>
      </c>
      <c r="K11" s="56" t="s">
        <v>2586</v>
      </c>
      <c r="L11" s="56" t="s">
        <v>15</v>
      </c>
      <c r="M11" s="56" t="s">
        <v>2587</v>
      </c>
    </row>
    <row r="12" spans="1:18" x14ac:dyDescent="0.25">
      <c r="A12" s="55" t="s">
        <v>3963</v>
      </c>
      <c r="B12" s="57" t="str">
        <f t="shared" si="0"/>
        <v>OPTO,LED,WHITE CLEAR,MISC,MISC,MISC</v>
      </c>
      <c r="C12" s="56" t="s">
        <v>15</v>
      </c>
      <c r="D12" s="56" t="s">
        <v>15</v>
      </c>
      <c r="E12" s="56" t="s">
        <v>15</v>
      </c>
      <c r="F12" s="56" t="s">
        <v>15</v>
      </c>
      <c r="G12" s="56" t="s">
        <v>466</v>
      </c>
      <c r="H12" s="56" t="s">
        <v>466</v>
      </c>
      <c r="I12" s="56" t="s">
        <v>466</v>
      </c>
      <c r="J12" s="56" t="s">
        <v>1012</v>
      </c>
      <c r="K12" s="56" t="s">
        <v>2586</v>
      </c>
      <c r="L12" s="56" t="s">
        <v>15</v>
      </c>
      <c r="M12" s="56" t="s">
        <v>2588</v>
      </c>
    </row>
    <row r="13" spans="1:18" x14ac:dyDescent="0.25">
      <c r="A13" s="55" t="s">
        <v>3964</v>
      </c>
      <c r="B13" s="57" t="str">
        <f t="shared" si="0"/>
        <v>OPTO,LED,RED CLEAR,MISC,MISC,TH5MM</v>
      </c>
      <c r="C13" s="56" t="s">
        <v>2573</v>
      </c>
      <c r="D13" s="56" t="s">
        <v>684</v>
      </c>
      <c r="E13" s="56" t="s">
        <v>15</v>
      </c>
      <c r="F13" s="56" t="s">
        <v>15</v>
      </c>
      <c r="G13" s="56" t="s">
        <v>466</v>
      </c>
      <c r="H13" s="56" t="s">
        <v>466</v>
      </c>
      <c r="I13" s="56" t="s">
        <v>2589</v>
      </c>
      <c r="J13" s="56" t="s">
        <v>1012</v>
      </c>
      <c r="K13" s="56" t="s">
        <v>2584</v>
      </c>
      <c r="L13" s="56" t="s">
        <v>15</v>
      </c>
      <c r="M13" s="56" t="s">
        <v>2590</v>
      </c>
    </row>
    <row r="14" spans="1:18" x14ac:dyDescent="0.25">
      <c r="A14" s="55" t="s">
        <v>3965</v>
      </c>
      <c r="B14" s="57" t="str">
        <f t="shared" si="0"/>
        <v>OPTO,LED,GREEN CLEAR,MISC,MISC,TH5MM</v>
      </c>
      <c r="C14" s="56" t="s">
        <v>2566</v>
      </c>
      <c r="D14" s="56" t="s">
        <v>684</v>
      </c>
      <c r="E14" s="56" t="s">
        <v>15</v>
      </c>
      <c r="F14" s="56" t="s">
        <v>15</v>
      </c>
      <c r="G14" s="56" t="s">
        <v>466</v>
      </c>
      <c r="H14" s="56" t="s">
        <v>466</v>
      </c>
      <c r="I14" s="56" t="s">
        <v>2589</v>
      </c>
      <c r="J14" s="56" t="s">
        <v>1012</v>
      </c>
      <c r="K14" s="56" t="s">
        <v>2582</v>
      </c>
      <c r="L14" s="56" t="s">
        <v>15</v>
      </c>
      <c r="M14" s="56" t="s">
        <v>2591</v>
      </c>
    </row>
    <row r="15" spans="1:18" x14ac:dyDescent="0.25">
      <c r="A15" s="55" t="s">
        <v>3966</v>
      </c>
      <c r="B15" s="57" t="str">
        <f t="shared" si="0"/>
        <v>OPTO,LED,GREEN CLEAR,MISC,MISC,TH5MM</v>
      </c>
      <c r="C15" s="56" t="s">
        <v>2566</v>
      </c>
      <c r="D15" s="56" t="s">
        <v>684</v>
      </c>
      <c r="E15" s="56" t="s">
        <v>15</v>
      </c>
      <c r="F15" s="56" t="s">
        <v>15</v>
      </c>
      <c r="G15" s="56" t="s">
        <v>466</v>
      </c>
      <c r="H15" s="56" t="s">
        <v>466</v>
      </c>
      <c r="I15" s="56" t="s">
        <v>2589</v>
      </c>
      <c r="J15" s="56" t="s">
        <v>1012</v>
      </c>
      <c r="K15" s="56" t="s">
        <v>2582</v>
      </c>
      <c r="L15" s="56" t="s">
        <v>15</v>
      </c>
      <c r="M15" s="56" t="s">
        <v>2592</v>
      </c>
    </row>
    <row r="16" spans="1:18" x14ac:dyDescent="0.25">
      <c r="A16" s="55" t="s">
        <v>3967</v>
      </c>
      <c r="B16" s="57" t="str">
        <f t="shared" si="0"/>
        <v>OPTO,LED,ORANGE CLEAR,MISC,MISC,TH5MM</v>
      </c>
      <c r="C16" s="56" t="s">
        <v>2593</v>
      </c>
      <c r="D16" s="56" t="s">
        <v>684</v>
      </c>
      <c r="E16" s="56" t="s">
        <v>15</v>
      </c>
      <c r="F16" s="56" t="s">
        <v>15</v>
      </c>
      <c r="G16" s="56" t="s">
        <v>466</v>
      </c>
      <c r="H16" s="56" t="s">
        <v>466</v>
      </c>
      <c r="I16" s="56" t="s">
        <v>2589</v>
      </c>
      <c r="J16" s="56" t="s">
        <v>1012</v>
      </c>
      <c r="K16" s="56" t="s">
        <v>2594</v>
      </c>
      <c r="L16" s="56" t="s">
        <v>15</v>
      </c>
      <c r="M16" s="56" t="s">
        <v>2595</v>
      </c>
    </row>
    <row r="17" spans="1:15" x14ac:dyDescent="0.25">
      <c r="A17" s="55" t="s">
        <v>3968</v>
      </c>
      <c r="B17" s="57" t="str">
        <f t="shared" si="0"/>
        <v>OPTO,LED,ORANGE CLEAR,MISC,MISC,TH5MM</v>
      </c>
      <c r="C17" s="56" t="s">
        <v>2593</v>
      </c>
      <c r="D17" s="56" t="s">
        <v>684</v>
      </c>
      <c r="E17" s="56" t="s">
        <v>15</v>
      </c>
      <c r="F17" s="56" t="s">
        <v>15</v>
      </c>
      <c r="G17" s="56" t="s">
        <v>466</v>
      </c>
      <c r="H17" s="56" t="s">
        <v>466</v>
      </c>
      <c r="I17" s="56" t="s">
        <v>2589</v>
      </c>
      <c r="J17" s="56" t="s">
        <v>1012</v>
      </c>
      <c r="K17" s="56" t="s">
        <v>2594</v>
      </c>
      <c r="L17" s="56" t="s">
        <v>15</v>
      </c>
      <c r="M17" s="56" t="s">
        <v>2596</v>
      </c>
    </row>
    <row r="18" spans="1:15" x14ac:dyDescent="0.25">
      <c r="A18" s="55" t="s">
        <v>3969</v>
      </c>
      <c r="B18" s="57" t="str">
        <f t="shared" si="0"/>
        <v>OPTO,LED,WHITE CLEAR,MISC,MISC,TH5MM</v>
      </c>
      <c r="C18" s="56" t="s">
        <v>2560</v>
      </c>
      <c r="D18" s="56" t="s">
        <v>684</v>
      </c>
      <c r="E18" s="56" t="s">
        <v>15</v>
      </c>
      <c r="F18" s="56" t="s">
        <v>15</v>
      </c>
      <c r="G18" s="56" t="s">
        <v>466</v>
      </c>
      <c r="H18" s="56" t="s">
        <v>466</v>
      </c>
      <c r="I18" s="56" t="s">
        <v>2589</v>
      </c>
      <c r="J18" s="56" t="s">
        <v>1012</v>
      </c>
      <c r="K18" s="56" t="s">
        <v>2586</v>
      </c>
      <c r="L18" s="56" t="s">
        <v>15</v>
      </c>
      <c r="M18" s="56" t="s">
        <v>2597</v>
      </c>
    </row>
    <row r="19" spans="1:15" x14ac:dyDescent="0.25">
      <c r="A19" s="55" t="s">
        <v>3970</v>
      </c>
      <c r="B19" s="57" t="str">
        <f t="shared" si="0"/>
        <v>OPTO,LED,BLUE CLEAR,MISC,MISC,TH5MM</v>
      </c>
      <c r="C19" s="56" t="s">
        <v>2578</v>
      </c>
      <c r="D19" s="56" t="s">
        <v>684</v>
      </c>
      <c r="E19" s="56" t="s">
        <v>15</v>
      </c>
      <c r="F19" s="56" t="s">
        <v>15</v>
      </c>
      <c r="G19" s="56" t="s">
        <v>466</v>
      </c>
      <c r="H19" s="56" t="s">
        <v>466</v>
      </c>
      <c r="I19" s="56" t="s">
        <v>2589</v>
      </c>
      <c r="J19" s="56" t="s">
        <v>1012</v>
      </c>
      <c r="K19" s="56" t="s">
        <v>2579</v>
      </c>
      <c r="L19" s="56" t="s">
        <v>15</v>
      </c>
      <c r="M19" s="56" t="s">
        <v>2598</v>
      </c>
    </row>
    <row r="20" spans="1:15" x14ac:dyDescent="0.25">
      <c r="A20" s="55" t="s">
        <v>3971</v>
      </c>
      <c r="B20" s="57" t="str">
        <f t="shared" si="0"/>
        <v>OPTO,LED,UV CLEAR,MISC,MISC,TH5MM</v>
      </c>
      <c r="C20" s="56" t="s">
        <v>2599</v>
      </c>
      <c r="D20" s="56" t="s">
        <v>684</v>
      </c>
      <c r="E20" s="56" t="s">
        <v>15</v>
      </c>
      <c r="F20" s="56" t="s">
        <v>15</v>
      </c>
      <c r="G20" s="56" t="s">
        <v>466</v>
      </c>
      <c r="H20" s="56" t="s">
        <v>466</v>
      </c>
      <c r="I20" s="56" t="s">
        <v>2589</v>
      </c>
      <c r="J20" s="56" t="s">
        <v>1012</v>
      </c>
      <c r="K20" s="56" t="s">
        <v>2600</v>
      </c>
      <c r="L20" s="56" t="s">
        <v>15</v>
      </c>
      <c r="M20" s="56" t="s">
        <v>2601</v>
      </c>
    </row>
    <row r="21" spans="1:15" x14ac:dyDescent="0.25">
      <c r="A21" s="55" t="s">
        <v>3972</v>
      </c>
      <c r="B21" s="57" t="str">
        <f t="shared" si="0"/>
        <v>OPTO,LED,RED/GREEN,MISC,MISC,TH5MM</v>
      </c>
      <c r="C21" s="56" t="s">
        <v>15</v>
      </c>
      <c r="D21" s="56" t="s">
        <v>684</v>
      </c>
      <c r="E21" s="56" t="s">
        <v>15</v>
      </c>
      <c r="F21" s="56" t="s">
        <v>15</v>
      </c>
      <c r="G21" s="56" t="s">
        <v>466</v>
      </c>
      <c r="H21" s="56" t="s">
        <v>466</v>
      </c>
      <c r="I21" s="56" t="s">
        <v>2589</v>
      </c>
      <c r="J21" s="56" t="s">
        <v>1012</v>
      </c>
      <c r="K21" s="56" t="s">
        <v>2558</v>
      </c>
      <c r="L21" s="56" t="s">
        <v>15</v>
      </c>
      <c r="M21" s="56" t="s">
        <v>2602</v>
      </c>
    </row>
    <row r="22" spans="1:15" x14ac:dyDescent="0.25">
      <c r="A22" s="55" t="s">
        <v>3973</v>
      </c>
      <c r="B22" s="57" t="str">
        <f t="shared" si="0"/>
        <v>OPTO,LED,RGB CLEAR,MISC,MISC,TH5MM</v>
      </c>
      <c r="C22" s="56" t="s">
        <v>15</v>
      </c>
      <c r="D22" s="56" t="s">
        <v>684</v>
      </c>
      <c r="E22" s="56" t="s">
        <v>15</v>
      </c>
      <c r="F22" s="56" t="s">
        <v>15</v>
      </c>
      <c r="G22" s="56" t="s">
        <v>466</v>
      </c>
      <c r="H22" s="56" t="s">
        <v>466</v>
      </c>
      <c r="I22" s="56" t="s">
        <v>2589</v>
      </c>
      <c r="J22" s="56" t="s">
        <v>1012</v>
      </c>
      <c r="K22" s="56" t="s">
        <v>2603</v>
      </c>
      <c r="L22" s="56" t="s">
        <v>15</v>
      </c>
      <c r="M22" s="56" t="s">
        <v>2604</v>
      </c>
    </row>
    <row r="23" spans="1:15" x14ac:dyDescent="0.25">
      <c r="A23" s="55" t="s">
        <v>3974</v>
      </c>
      <c r="B23" s="57" t="str">
        <f t="shared" si="0"/>
        <v>OPTO,LED,RED,MISC,MISC,TH3MM</v>
      </c>
      <c r="C23" s="56" t="s">
        <v>2573</v>
      </c>
      <c r="D23" s="56" t="s">
        <v>684</v>
      </c>
      <c r="E23" s="56" t="s">
        <v>15</v>
      </c>
      <c r="F23" s="56" t="s">
        <v>15</v>
      </c>
      <c r="G23" s="56" t="s">
        <v>466</v>
      </c>
      <c r="H23" s="56" t="s">
        <v>466</v>
      </c>
      <c r="I23" s="56" t="s">
        <v>2580</v>
      </c>
      <c r="J23" s="56" t="s">
        <v>1012</v>
      </c>
      <c r="K23" s="56" t="s">
        <v>2574</v>
      </c>
      <c r="L23" s="56" t="s">
        <v>15</v>
      </c>
      <c r="M23" s="56" t="s">
        <v>2605</v>
      </c>
    </row>
    <row r="24" spans="1:15" x14ac:dyDescent="0.25">
      <c r="A24" s="55" t="s">
        <v>3975</v>
      </c>
      <c r="B24" s="57" t="str">
        <f t="shared" si="0"/>
        <v>OPTO,LED,RED,MISC,MISC,TH5MM</v>
      </c>
      <c r="C24" s="56" t="s">
        <v>2573</v>
      </c>
      <c r="D24" s="56" t="s">
        <v>684</v>
      </c>
      <c r="E24" s="56" t="s">
        <v>15</v>
      </c>
      <c r="F24" s="56" t="s">
        <v>15</v>
      </c>
      <c r="G24" s="56" t="s">
        <v>466</v>
      </c>
      <c r="H24" s="56" t="s">
        <v>466</v>
      </c>
      <c r="I24" s="56" t="s">
        <v>2589</v>
      </c>
      <c r="J24" s="56" t="s">
        <v>1012</v>
      </c>
      <c r="K24" s="56" t="s">
        <v>2574</v>
      </c>
      <c r="L24" s="56" t="s">
        <v>15</v>
      </c>
      <c r="M24" s="56" t="s">
        <v>2606</v>
      </c>
    </row>
    <row r="25" spans="1:15" x14ac:dyDescent="0.25">
      <c r="A25" s="55" t="s">
        <v>3976</v>
      </c>
      <c r="B25" s="57" t="str">
        <f t="shared" si="0"/>
        <v>OPTO,LED,YELLOW,MISC,MISC,TH3MM</v>
      </c>
      <c r="C25" s="56" t="s">
        <v>2570</v>
      </c>
      <c r="D25" s="56" t="s">
        <v>684</v>
      </c>
      <c r="E25" s="56" t="s">
        <v>15</v>
      </c>
      <c r="F25" s="56" t="s">
        <v>15</v>
      </c>
      <c r="G25" s="56" t="s">
        <v>466</v>
      </c>
      <c r="H25" s="56" t="s">
        <v>466</v>
      </c>
      <c r="I25" s="56" t="s">
        <v>2580</v>
      </c>
      <c r="J25" s="56" t="s">
        <v>1012</v>
      </c>
      <c r="K25" s="56" t="s">
        <v>2571</v>
      </c>
      <c r="L25" s="56" t="s">
        <v>15</v>
      </c>
      <c r="M25" s="56" t="s">
        <v>2607</v>
      </c>
    </row>
    <row r="26" spans="1:15" x14ac:dyDescent="0.25">
      <c r="A26" s="55" t="s">
        <v>3977</v>
      </c>
      <c r="B26" s="57" t="str">
        <f t="shared" si="0"/>
        <v>OPTO,LED,YELLOW,MISC,MISC,TH5MM</v>
      </c>
      <c r="C26" s="56" t="s">
        <v>2570</v>
      </c>
      <c r="D26" s="56" t="s">
        <v>684</v>
      </c>
      <c r="E26" s="56" t="s">
        <v>15</v>
      </c>
      <c r="F26" s="56" t="s">
        <v>15</v>
      </c>
      <c r="G26" s="56" t="s">
        <v>466</v>
      </c>
      <c r="H26" s="56" t="s">
        <v>466</v>
      </c>
      <c r="I26" s="56" t="s">
        <v>2589</v>
      </c>
      <c r="J26" s="56" t="s">
        <v>1012</v>
      </c>
      <c r="K26" s="56" t="s">
        <v>2571</v>
      </c>
      <c r="L26" s="56" t="s">
        <v>15</v>
      </c>
      <c r="M26" s="56" t="s">
        <v>2608</v>
      </c>
    </row>
    <row r="27" spans="1:15" x14ac:dyDescent="0.25">
      <c r="A27" s="55" t="s">
        <v>3978</v>
      </c>
      <c r="B27" s="57" t="str">
        <f t="shared" si="0"/>
        <v>OPTO,LED,GREEN,MISC,MISC,TH3MM</v>
      </c>
      <c r="C27" s="56" t="s">
        <v>2566</v>
      </c>
      <c r="D27" s="56" t="s">
        <v>684</v>
      </c>
      <c r="E27" s="56" t="s">
        <v>15</v>
      </c>
      <c r="F27" s="56" t="s">
        <v>15</v>
      </c>
      <c r="G27" s="56" t="s">
        <v>466</v>
      </c>
      <c r="H27" s="56" t="s">
        <v>466</v>
      </c>
      <c r="I27" s="56" t="s">
        <v>2580</v>
      </c>
      <c r="J27" s="56" t="s">
        <v>1012</v>
      </c>
      <c r="K27" s="56" t="s">
        <v>2568</v>
      </c>
      <c r="L27" s="56" t="s">
        <v>15</v>
      </c>
      <c r="M27" s="56" t="s">
        <v>2609</v>
      </c>
    </row>
    <row r="28" spans="1:15" x14ac:dyDescent="0.25">
      <c r="A28" s="55" t="s">
        <v>3979</v>
      </c>
      <c r="B28" s="57" t="str">
        <f t="shared" si="0"/>
        <v>OPTO,LED,GREEN,MISC,MISC,TH5MM</v>
      </c>
      <c r="C28" s="56" t="s">
        <v>2566</v>
      </c>
      <c r="D28" s="56" t="s">
        <v>684</v>
      </c>
      <c r="E28" s="56" t="s">
        <v>15</v>
      </c>
      <c r="F28" s="56" t="s">
        <v>15</v>
      </c>
      <c r="G28" s="56" t="s">
        <v>466</v>
      </c>
      <c r="H28" s="56" t="s">
        <v>466</v>
      </c>
      <c r="I28" s="56" t="s">
        <v>2589</v>
      </c>
      <c r="J28" s="56" t="s">
        <v>1012</v>
      </c>
      <c r="K28" s="56" t="s">
        <v>2568</v>
      </c>
      <c r="L28" s="56" t="s">
        <v>15</v>
      </c>
      <c r="M28" s="56" t="s">
        <v>2610</v>
      </c>
    </row>
    <row r="29" spans="1:15" x14ac:dyDescent="0.25">
      <c r="A29" s="55" t="s">
        <v>3980</v>
      </c>
      <c r="B29" s="57" t="str">
        <f t="shared" si="0"/>
        <v>OPTO,LED,WHITE,MISC,MISC,PIRANA</v>
      </c>
      <c r="C29" s="56" t="s">
        <v>2611</v>
      </c>
      <c r="D29" s="56" t="s">
        <v>684</v>
      </c>
      <c r="E29" s="56" t="s">
        <v>15</v>
      </c>
      <c r="F29" s="56" t="s">
        <v>15</v>
      </c>
      <c r="G29" s="56" t="s">
        <v>466</v>
      </c>
      <c r="H29" s="56" t="s">
        <v>466</v>
      </c>
      <c r="I29" s="56" t="s">
        <v>2612</v>
      </c>
      <c r="J29" s="56" t="s">
        <v>1012</v>
      </c>
      <c r="K29" s="56" t="s">
        <v>2564</v>
      </c>
      <c r="L29" s="56" t="s">
        <v>15</v>
      </c>
      <c r="M29" s="56" t="s">
        <v>2613</v>
      </c>
    </row>
    <row r="30" spans="1:15" x14ac:dyDescent="0.25">
      <c r="A30" s="55" t="s">
        <v>3981</v>
      </c>
      <c r="B30" s="57" t="str">
        <f t="shared" si="0"/>
        <v>OPTO,LED,GREEN,CHICAGO MINI,7002X5,PLCC2</v>
      </c>
      <c r="C30" s="56" t="s">
        <v>15</v>
      </c>
      <c r="D30" s="56" t="s">
        <v>15</v>
      </c>
      <c r="E30" s="56" t="s">
        <v>15</v>
      </c>
      <c r="F30" s="56" t="s">
        <v>15</v>
      </c>
      <c r="G30" s="56" t="s">
        <v>2614</v>
      </c>
      <c r="H30" s="56" t="s">
        <v>2615</v>
      </c>
      <c r="I30" s="56" t="s">
        <v>2567</v>
      </c>
      <c r="J30" s="56" t="s">
        <v>1012</v>
      </c>
      <c r="K30" s="56" t="s">
        <v>2568</v>
      </c>
      <c r="L30" s="56" t="s">
        <v>15</v>
      </c>
      <c r="M30" s="56" t="s">
        <v>2616</v>
      </c>
    </row>
    <row r="31" spans="1:15" x14ac:dyDescent="0.25">
      <c r="A31" s="55" t="s">
        <v>3982</v>
      </c>
      <c r="B31" s="57" t="str">
        <f t="shared" si="0"/>
        <v>OPTO,LED,RED,NATIONSTAR,FC-DA1608BHRK-620D,0603</v>
      </c>
      <c r="C31" s="56" t="s">
        <v>15</v>
      </c>
      <c r="D31" s="56" t="s">
        <v>15</v>
      </c>
      <c r="E31" s="56" t="s">
        <v>15</v>
      </c>
      <c r="F31" s="56" t="s">
        <v>15</v>
      </c>
      <c r="G31" s="56" t="s">
        <v>4994</v>
      </c>
      <c r="H31" s="56" t="s">
        <v>2617</v>
      </c>
      <c r="I31" s="56" t="s">
        <v>74</v>
      </c>
      <c r="J31" s="56" t="s">
        <v>1012</v>
      </c>
      <c r="K31" s="56" t="s">
        <v>2574</v>
      </c>
      <c r="L31" s="56" t="s">
        <v>15</v>
      </c>
      <c r="M31" s="56" t="s">
        <v>2618</v>
      </c>
    </row>
    <row r="32" spans="1:15" x14ac:dyDescent="0.25">
      <c r="A32" s="55" t="s">
        <v>3983</v>
      </c>
      <c r="B32" s="57" t="str">
        <f t="shared" si="0"/>
        <v>OPTO,PHOTODIODE,IR,ONSEMI,QSD123-ND,TH5MM</v>
      </c>
      <c r="C32" s="56" t="s">
        <v>15</v>
      </c>
      <c r="D32" s="56" t="s">
        <v>15</v>
      </c>
      <c r="E32" s="56" t="s">
        <v>15</v>
      </c>
      <c r="F32" s="56" t="s">
        <v>15</v>
      </c>
      <c r="G32" s="56" t="s">
        <v>685</v>
      </c>
      <c r="H32" s="56" t="s">
        <v>2619</v>
      </c>
      <c r="I32" s="56" t="s">
        <v>2589</v>
      </c>
      <c r="J32" s="56" t="s">
        <v>4995</v>
      </c>
      <c r="K32" s="56" t="s">
        <v>927</v>
      </c>
      <c r="L32" s="56" t="s">
        <v>15</v>
      </c>
      <c r="M32" s="56" t="s">
        <v>2620</v>
      </c>
      <c r="O32" s="56" t="s">
        <v>2619</v>
      </c>
    </row>
    <row r="33" spans="1:15" x14ac:dyDescent="0.25">
      <c r="A33" s="55" t="s">
        <v>3984</v>
      </c>
      <c r="B33" s="57" t="str">
        <f t="shared" si="0"/>
        <v>OPTO,LED,BLUE/YELLOW/GREEN,HARVATEK,HQ15-2202BYGC,</v>
      </c>
      <c r="C33" s="56" t="s">
        <v>15</v>
      </c>
      <c r="D33" s="56" t="s">
        <v>15</v>
      </c>
      <c r="E33" s="56" t="s">
        <v>15</v>
      </c>
      <c r="F33" s="56" t="s">
        <v>15</v>
      </c>
      <c r="G33" s="56" t="s">
        <v>4996</v>
      </c>
      <c r="H33" s="56" t="s">
        <v>2621</v>
      </c>
      <c r="I33" s="56" t="s">
        <v>15</v>
      </c>
      <c r="J33" s="56" t="s">
        <v>1012</v>
      </c>
      <c r="K33" s="56" t="s">
        <v>2622</v>
      </c>
      <c r="L33" s="56" t="s">
        <v>15</v>
      </c>
      <c r="M33" s="56" t="s">
        <v>2623</v>
      </c>
    </row>
    <row r="34" spans="1:15" x14ac:dyDescent="0.25">
      <c r="A34" s="55" t="s">
        <v>3985</v>
      </c>
      <c r="B34" s="57" t="str">
        <f t="shared" si="0"/>
        <v>OPTO,LED,IR,ONSEMI,QED123-ND,TH5MM</v>
      </c>
      <c r="C34" s="56" t="s">
        <v>15</v>
      </c>
      <c r="D34" s="56" t="s">
        <v>15</v>
      </c>
      <c r="E34" s="56" t="s">
        <v>15</v>
      </c>
      <c r="F34" s="56" t="s">
        <v>15</v>
      </c>
      <c r="G34" s="56" t="s">
        <v>685</v>
      </c>
      <c r="H34" s="56" t="s">
        <v>2624</v>
      </c>
      <c r="I34" s="56" t="s">
        <v>2589</v>
      </c>
      <c r="J34" s="56" t="s">
        <v>1012</v>
      </c>
      <c r="K34" s="56" t="s">
        <v>927</v>
      </c>
      <c r="L34" s="56" t="s">
        <v>15</v>
      </c>
      <c r="M34" s="56" t="s">
        <v>2625</v>
      </c>
      <c r="O34" s="56" t="s">
        <v>2624</v>
      </c>
    </row>
    <row r="35" spans="1:15" ht="30" x14ac:dyDescent="0.25">
      <c r="A35" s="55" t="s">
        <v>3986</v>
      </c>
      <c r="B35" s="57" t="str">
        <f t="shared" si="0"/>
        <v>OPTO,LED,7-SEG,MULTIPLEX,3 DIGIT,7SEG 3CA MUX,WENRUN,LTD056BUE-103A,DISPLAY</v>
      </c>
      <c r="C35" s="56" t="s">
        <v>15</v>
      </c>
      <c r="D35" s="56" t="s">
        <v>15</v>
      </c>
      <c r="E35" s="56" t="s">
        <v>15</v>
      </c>
      <c r="F35" s="56" t="s">
        <v>15</v>
      </c>
      <c r="G35" s="56" t="s">
        <v>2626</v>
      </c>
      <c r="H35" s="56" t="s">
        <v>2627</v>
      </c>
      <c r="I35" s="56" t="s">
        <v>5008</v>
      </c>
      <c r="J35" s="56" t="s">
        <v>5005</v>
      </c>
      <c r="K35" s="56" t="s">
        <v>2628</v>
      </c>
      <c r="L35" s="56" t="s">
        <v>15</v>
      </c>
      <c r="M35" s="56" t="s">
        <v>2630</v>
      </c>
    </row>
    <row r="36" spans="1:15" ht="30" x14ac:dyDescent="0.25">
      <c r="A36" s="55" t="s">
        <v>3987</v>
      </c>
      <c r="B36" s="57" t="str">
        <f t="shared" si="0"/>
        <v>OPTO,LED,7-SEG,MULTIPLEX,3 DIGIT,7SEG 3CA MUX,LEDTECH,LN5643R-11,DISPLAY</v>
      </c>
      <c r="C36" s="56" t="s">
        <v>15</v>
      </c>
      <c r="D36" s="56" t="s">
        <v>15</v>
      </c>
      <c r="E36" s="56" t="s">
        <v>15</v>
      </c>
      <c r="F36" s="56" t="s">
        <v>15</v>
      </c>
      <c r="G36" s="56" t="s">
        <v>4997</v>
      </c>
      <c r="H36" s="56" t="s">
        <v>2631</v>
      </c>
      <c r="I36" s="56" t="s">
        <v>5008</v>
      </c>
      <c r="J36" s="56" t="s">
        <v>5005</v>
      </c>
      <c r="K36" s="56" t="s">
        <v>2628</v>
      </c>
      <c r="L36" s="56" t="s">
        <v>15</v>
      </c>
      <c r="M36" s="56" t="s">
        <v>2633</v>
      </c>
      <c r="N36" s="56" t="s">
        <v>2632</v>
      </c>
    </row>
    <row r="37" spans="1:15" x14ac:dyDescent="0.25">
      <c r="A37" s="55" t="s">
        <v>3988</v>
      </c>
      <c r="B37" s="57" t="str">
        <f t="shared" si="0"/>
        <v>OPTO,LCD,128X32,BLUE/WHITE,NEWHAVEN,NHD-C12832A1Z-NSW-BBW-3V3,DISPLAY</v>
      </c>
      <c r="C37" s="56" t="s">
        <v>15</v>
      </c>
      <c r="D37" s="56" t="s">
        <v>15</v>
      </c>
      <c r="E37" s="56" t="s">
        <v>15</v>
      </c>
      <c r="F37" s="56" t="s">
        <v>15</v>
      </c>
      <c r="G37" s="56" t="s">
        <v>2634</v>
      </c>
      <c r="H37" s="56" t="s">
        <v>2635</v>
      </c>
      <c r="I37" s="56" t="s">
        <v>5008</v>
      </c>
      <c r="J37" s="56" t="s">
        <v>4989</v>
      </c>
      <c r="K37" s="56" t="s">
        <v>4998</v>
      </c>
      <c r="L37" s="56" t="s">
        <v>15</v>
      </c>
      <c r="M37" s="56" t="s">
        <v>2636</v>
      </c>
    </row>
    <row r="38" spans="1:15" x14ac:dyDescent="0.25">
      <c r="A38" s="55" t="s">
        <v>3989</v>
      </c>
      <c r="B38" s="57" t="str">
        <f t="shared" si="0"/>
        <v>OPTO,LED,BLUE,ORIENT,ORH-B36G,0603</v>
      </c>
      <c r="C38" s="56" t="s">
        <v>15</v>
      </c>
      <c r="D38" s="56" t="s">
        <v>15</v>
      </c>
      <c r="E38" s="56" t="s">
        <v>15</v>
      </c>
      <c r="F38" s="56" t="s">
        <v>15</v>
      </c>
      <c r="G38" s="56" t="s">
        <v>2662</v>
      </c>
      <c r="H38" s="56" t="s">
        <v>2637</v>
      </c>
      <c r="I38" s="56" t="s">
        <v>74</v>
      </c>
      <c r="J38" s="56" t="s">
        <v>1012</v>
      </c>
      <c r="K38" s="56" t="s">
        <v>2673</v>
      </c>
      <c r="L38" s="56" t="s">
        <v>15</v>
      </c>
      <c r="M38" s="56" t="s">
        <v>2638</v>
      </c>
    </row>
    <row r="39" spans="1:15" ht="30" x14ac:dyDescent="0.25">
      <c r="A39" s="55" t="s">
        <v>3990</v>
      </c>
      <c r="B39" s="57" t="str">
        <f t="shared" si="0"/>
        <v>OPTO,LCD,16X2,TRANSFL,WHITE/BLACK,NEWHAVEN,NHD-C0216CIZ-FSW-FBW-3V3,DISPLAY</v>
      </c>
      <c r="C39" s="56" t="s">
        <v>15</v>
      </c>
      <c r="D39" s="56" t="s">
        <v>15</v>
      </c>
      <c r="E39" s="56" t="s">
        <v>15</v>
      </c>
      <c r="F39" s="56" t="s">
        <v>15</v>
      </c>
      <c r="G39" s="56" t="s">
        <v>2634</v>
      </c>
      <c r="H39" s="56" t="s">
        <v>2639</v>
      </c>
      <c r="I39" s="56" t="s">
        <v>5008</v>
      </c>
      <c r="J39" s="56" t="s">
        <v>5002</v>
      </c>
      <c r="K39" s="56" t="s">
        <v>5003</v>
      </c>
      <c r="L39" s="56" t="s">
        <v>15</v>
      </c>
      <c r="M39" s="56" t="s">
        <v>2640</v>
      </c>
    </row>
    <row r="40" spans="1:15" x14ac:dyDescent="0.25">
      <c r="A40" s="55" t="s">
        <v>3991</v>
      </c>
      <c r="B40" s="57" t="str">
        <f t="shared" si="0"/>
        <v>OPTO,LED,RED,OSRAM,LS-Q976-NR-1,0603</v>
      </c>
      <c r="C40" s="56" t="s">
        <v>15</v>
      </c>
      <c r="D40" s="56" t="s">
        <v>15</v>
      </c>
      <c r="E40" s="56" t="s">
        <v>15</v>
      </c>
      <c r="F40" s="56" t="s">
        <v>15</v>
      </c>
      <c r="G40" s="56" t="s">
        <v>1007</v>
      </c>
      <c r="H40" s="56" t="s">
        <v>4999</v>
      </c>
      <c r="I40" s="56" t="s">
        <v>74</v>
      </c>
      <c r="J40" s="56" t="s">
        <v>1012</v>
      </c>
      <c r="K40" s="56" t="s">
        <v>2574</v>
      </c>
      <c r="L40" s="56" t="s">
        <v>15</v>
      </c>
      <c r="M40" s="56" t="s">
        <v>2641</v>
      </c>
    </row>
    <row r="41" spans="1:15" x14ac:dyDescent="0.25">
      <c r="A41" s="55" t="s">
        <v>3992</v>
      </c>
      <c r="B41" s="57" t="str">
        <f t="shared" si="0"/>
        <v>OPTO,LED,GREEN,LITE-ON,LTL911TGKS,PIRANA</v>
      </c>
      <c r="C41" s="56" t="s">
        <v>15</v>
      </c>
      <c r="D41" s="56" t="s">
        <v>15</v>
      </c>
      <c r="E41" s="56" t="s">
        <v>15</v>
      </c>
      <c r="F41" s="56" t="s">
        <v>15</v>
      </c>
      <c r="G41" s="56" t="s">
        <v>5000</v>
      </c>
      <c r="H41" s="56" t="s">
        <v>2642</v>
      </c>
      <c r="I41" s="56" t="s">
        <v>2612</v>
      </c>
      <c r="J41" s="56" t="s">
        <v>1012</v>
      </c>
      <c r="K41" s="56" t="s">
        <v>2568</v>
      </c>
      <c r="L41" s="56" t="s">
        <v>15</v>
      </c>
      <c r="M41" s="56" t="s">
        <v>2643</v>
      </c>
    </row>
    <row r="42" spans="1:15" x14ac:dyDescent="0.25">
      <c r="A42" s="55" t="s">
        <v>3993</v>
      </c>
      <c r="B42" s="57" t="str">
        <f t="shared" si="0"/>
        <v>OPTO,LED,7-SEG,1-1/2 DIGIT,,LITE-ON,LTD-6930HR,LTD-6930HR</v>
      </c>
      <c r="C42" s="56" t="s">
        <v>15</v>
      </c>
      <c r="D42" s="56" t="s">
        <v>15</v>
      </c>
      <c r="E42" s="56" t="s">
        <v>15</v>
      </c>
      <c r="F42" s="56" t="s">
        <v>15</v>
      </c>
      <c r="G42" s="56" t="s">
        <v>5000</v>
      </c>
      <c r="H42" s="56" t="s">
        <v>2644</v>
      </c>
      <c r="I42" s="56" t="s">
        <v>2644</v>
      </c>
      <c r="J42" s="56" t="s">
        <v>5004</v>
      </c>
      <c r="K42" s="56"/>
      <c r="L42" s="56" t="s">
        <v>15</v>
      </c>
      <c r="M42" s="56" t="s">
        <v>2645</v>
      </c>
    </row>
    <row r="43" spans="1:15" x14ac:dyDescent="0.25">
      <c r="A43" s="55" t="s">
        <v>3994</v>
      </c>
      <c r="B43" s="57" t="str">
        <f t="shared" si="0"/>
        <v>OPTO,LCD,NOKIA-511,MONOCHROME,MISC,NOKIA5110,NOKIA5110</v>
      </c>
      <c r="C43" s="56" t="s">
        <v>15</v>
      </c>
      <c r="D43" s="56" t="s">
        <v>15</v>
      </c>
      <c r="E43" s="56" t="s">
        <v>15</v>
      </c>
      <c r="F43" s="56" t="s">
        <v>15</v>
      </c>
      <c r="G43" s="56" t="s">
        <v>466</v>
      </c>
      <c r="H43" s="56" t="s">
        <v>2646</v>
      </c>
      <c r="I43" s="56" t="s">
        <v>2646</v>
      </c>
      <c r="J43" s="56" t="s">
        <v>5006</v>
      </c>
      <c r="K43" s="56" t="s">
        <v>5007</v>
      </c>
      <c r="L43" s="56" t="s">
        <v>15</v>
      </c>
      <c r="M43" s="56" t="s">
        <v>2647</v>
      </c>
    </row>
    <row r="44" spans="1:15" x14ac:dyDescent="0.25">
      <c r="A44" s="55" t="s">
        <v>3995</v>
      </c>
      <c r="B44" s="57" t="str">
        <f t="shared" si="0"/>
        <v>OPTO,LED,WHITE,CREE,CLA1B-WKW-XD0F0E13,PLCC-4</v>
      </c>
      <c r="C44" s="56" t="s">
        <v>15</v>
      </c>
      <c r="D44" s="56" t="s">
        <v>15</v>
      </c>
      <c r="E44" s="56" t="s">
        <v>15</v>
      </c>
      <c r="F44" s="56" t="s">
        <v>15</v>
      </c>
      <c r="G44" s="56" t="s">
        <v>2561</v>
      </c>
      <c r="H44" s="56" t="s">
        <v>2648</v>
      </c>
      <c r="I44" s="56" t="s">
        <v>5009</v>
      </c>
      <c r="J44" s="56" t="s">
        <v>1012</v>
      </c>
      <c r="K44" s="56" t="s">
        <v>2564</v>
      </c>
      <c r="L44" s="56" t="s">
        <v>15</v>
      </c>
      <c r="M44" s="56" t="s">
        <v>2649</v>
      </c>
    </row>
    <row r="45" spans="1:15" x14ac:dyDescent="0.25">
      <c r="A45" s="55" t="s">
        <v>3996</v>
      </c>
      <c r="B45" s="57" t="str">
        <f t="shared" si="0"/>
        <v>OPTO,LED,RGB CLEAR,OSRAM,LRTBG6TG,PLCC-6</v>
      </c>
      <c r="C45" s="56" t="s">
        <v>15</v>
      </c>
      <c r="D45" s="56" t="s">
        <v>15</v>
      </c>
      <c r="E45" s="56" t="s">
        <v>15</v>
      </c>
      <c r="F45" s="56" t="s">
        <v>15</v>
      </c>
      <c r="G45" s="56" t="s">
        <v>1007</v>
      </c>
      <c r="H45" s="56" t="s">
        <v>1008</v>
      </c>
      <c r="I45" s="56" t="s">
        <v>5010</v>
      </c>
      <c r="J45" s="56" t="s">
        <v>1012</v>
      </c>
      <c r="K45" s="56" t="s">
        <v>2603</v>
      </c>
      <c r="L45" s="56" t="s">
        <v>15</v>
      </c>
      <c r="M45" s="56" t="s">
        <v>1010</v>
      </c>
    </row>
    <row r="46" spans="1:15" x14ac:dyDescent="0.25">
      <c r="A46" s="55" t="s">
        <v>3997</v>
      </c>
      <c r="B46" s="57" t="str">
        <f t="shared" si="0"/>
        <v>OPTO,LED,BARGRAPH,SUPERRED,,2510SR1,DIP20</v>
      </c>
      <c r="C46" s="56" t="s">
        <v>15</v>
      </c>
      <c r="D46" s="56" t="s">
        <v>15</v>
      </c>
      <c r="E46" s="56" t="s">
        <v>15</v>
      </c>
      <c r="F46" s="56" t="s">
        <v>15</v>
      </c>
      <c r="G46" s="56" t="s">
        <v>15</v>
      </c>
      <c r="H46" s="56" t="s">
        <v>2650</v>
      </c>
      <c r="I46" s="56" t="s">
        <v>440</v>
      </c>
      <c r="J46" s="56" t="s">
        <v>4990</v>
      </c>
      <c r="K46" s="56" t="s">
        <v>4991</v>
      </c>
      <c r="L46" s="56" t="s">
        <v>15</v>
      </c>
      <c r="M46" s="56" t="s">
        <v>2651</v>
      </c>
    </row>
    <row r="47" spans="1:15" x14ac:dyDescent="0.25">
      <c r="A47" s="55" t="s">
        <v>3998</v>
      </c>
      <c r="B47" s="57" t="str">
        <f t="shared" si="0"/>
        <v>OPTO,,,SUNLED,XZMDKCBDDG45S-9,</v>
      </c>
      <c r="C47" s="56" t="s">
        <v>15</v>
      </c>
      <c r="D47" s="56" t="s">
        <v>15</v>
      </c>
      <c r="E47" s="56" t="s">
        <v>15</v>
      </c>
      <c r="F47" s="56" t="s">
        <v>15</v>
      </c>
      <c r="G47" s="56" t="s">
        <v>2652</v>
      </c>
      <c r="H47" s="56" t="s">
        <v>2653</v>
      </c>
      <c r="I47" s="56" t="s">
        <v>15</v>
      </c>
      <c r="J47" s="56"/>
      <c r="K47" s="56" t="s">
        <v>15</v>
      </c>
      <c r="L47" s="56" t="s">
        <v>15</v>
      </c>
      <c r="M47" s="56" t="s">
        <v>2654</v>
      </c>
    </row>
    <row r="48" spans="1:15" x14ac:dyDescent="0.25">
      <c r="A48" s="55" t="s">
        <v>3999</v>
      </c>
      <c r="B48" s="57" t="str">
        <f t="shared" si="0"/>
        <v>OPTO,LED,YELLOW,LCSC,LED YELLOW 0603,0805</v>
      </c>
      <c r="C48" s="56" t="s">
        <v>15</v>
      </c>
      <c r="D48" s="56" t="s">
        <v>15</v>
      </c>
      <c r="E48" s="56" t="s">
        <v>15</v>
      </c>
      <c r="F48" s="56" t="s">
        <v>15</v>
      </c>
      <c r="G48" s="56" t="s">
        <v>521</v>
      </c>
      <c r="H48" s="56" t="s">
        <v>2655</v>
      </c>
      <c r="I48" s="56" t="s">
        <v>47</v>
      </c>
      <c r="J48" s="56" t="s">
        <v>1012</v>
      </c>
      <c r="K48" s="56" t="s">
        <v>2571</v>
      </c>
      <c r="L48" s="56" t="s">
        <v>15</v>
      </c>
      <c r="M48" s="56" t="s">
        <v>2656</v>
      </c>
    </row>
    <row r="49" spans="1:13" x14ac:dyDescent="0.25">
      <c r="A49" s="55" t="s">
        <v>4000</v>
      </c>
      <c r="B49" s="57" t="str">
        <f t="shared" si="0"/>
        <v>OPTO,,,,,</v>
      </c>
      <c r="C49" s="56" t="s">
        <v>15</v>
      </c>
      <c r="D49" s="56" t="s">
        <v>15</v>
      </c>
      <c r="E49" s="56" t="s">
        <v>15</v>
      </c>
      <c r="F49" s="56" t="s">
        <v>15</v>
      </c>
      <c r="G49" s="56" t="s">
        <v>15</v>
      </c>
      <c r="H49" s="56" t="s">
        <v>15</v>
      </c>
      <c r="I49" s="56" t="s">
        <v>15</v>
      </c>
      <c r="J49" s="56"/>
      <c r="K49" s="56" t="s">
        <v>15</v>
      </c>
      <c r="L49" s="56" t="s">
        <v>15</v>
      </c>
      <c r="M49" s="56" t="s">
        <v>2657</v>
      </c>
    </row>
    <row r="50" spans="1:13" x14ac:dyDescent="0.25">
      <c r="A50" s="55" t="s">
        <v>4001</v>
      </c>
      <c r="B50" s="57" t="str">
        <f t="shared" si="0"/>
        <v>OPTO,LED,RED/BLUE,WURTH,150141RB73100,PLCC4</v>
      </c>
      <c r="C50" s="56" t="s">
        <v>15</v>
      </c>
      <c r="D50" s="56" t="s">
        <v>15</v>
      </c>
      <c r="E50" s="56" t="s">
        <v>15</v>
      </c>
      <c r="F50" s="56" t="s">
        <v>15</v>
      </c>
      <c r="G50" s="56" t="s">
        <v>5011</v>
      </c>
      <c r="H50" s="56" t="s">
        <v>2658</v>
      </c>
      <c r="I50" s="56" t="s">
        <v>2659</v>
      </c>
      <c r="J50" s="56" t="s">
        <v>1012</v>
      </c>
      <c r="K50" s="56" t="s">
        <v>2660</v>
      </c>
      <c r="L50" s="56" t="s">
        <v>15</v>
      </c>
      <c r="M50" s="56" t="s">
        <v>2661</v>
      </c>
    </row>
    <row r="51" spans="1:13" x14ac:dyDescent="0.25">
      <c r="A51" s="55" t="s">
        <v>4002</v>
      </c>
      <c r="B51" s="57" t="str">
        <f t="shared" si="0"/>
        <v>OPTO,LED,ORANGE RED,ORIENT,ORH-R36A,0603</v>
      </c>
      <c r="C51" s="56" t="s">
        <v>15</v>
      </c>
      <c r="D51" s="56" t="s">
        <v>15</v>
      </c>
      <c r="E51" s="56" t="s">
        <v>15</v>
      </c>
      <c r="F51" s="56" t="s">
        <v>15</v>
      </c>
      <c r="G51" s="56" t="s">
        <v>2662</v>
      </c>
      <c r="H51" s="56" t="s">
        <v>2663</v>
      </c>
      <c r="I51" s="56" t="s">
        <v>74</v>
      </c>
      <c r="J51" s="56" t="s">
        <v>1012</v>
      </c>
      <c r="K51" s="56" t="s">
        <v>2664</v>
      </c>
      <c r="L51" s="56" t="s">
        <v>15</v>
      </c>
      <c r="M51" s="56" t="s">
        <v>2665</v>
      </c>
    </row>
    <row r="52" spans="1:13" x14ac:dyDescent="0.25">
      <c r="A52" s="55" t="s">
        <v>4003</v>
      </c>
      <c r="B52" s="57" t="str">
        <f t="shared" si="0"/>
        <v>OPTO,LED,YELLOW,NATIONSTAR,NCD0603Y1,0603</v>
      </c>
      <c r="C52" s="56" t="s">
        <v>15</v>
      </c>
      <c r="D52" s="56" t="s">
        <v>15</v>
      </c>
      <c r="E52" s="56" t="s">
        <v>15</v>
      </c>
      <c r="F52" s="56" t="s">
        <v>15</v>
      </c>
      <c r="G52" s="56" t="s">
        <v>4994</v>
      </c>
      <c r="H52" s="56" t="s">
        <v>2666</v>
      </c>
      <c r="I52" s="56" t="s">
        <v>74</v>
      </c>
      <c r="J52" s="56" t="s">
        <v>1012</v>
      </c>
      <c r="K52" s="56" t="s">
        <v>2571</v>
      </c>
      <c r="L52" s="56" t="s">
        <v>15</v>
      </c>
      <c r="M52" s="56" t="s">
        <v>2667</v>
      </c>
    </row>
    <row r="53" spans="1:13" x14ac:dyDescent="0.25">
      <c r="A53" s="55" t="s">
        <v>4004</v>
      </c>
      <c r="B53" s="57" t="str">
        <f t="shared" si="0"/>
        <v>OPTO,LED,WHITE,ORIENT,ORH-W46G,0603</v>
      </c>
      <c r="C53" s="56" t="s">
        <v>15</v>
      </c>
      <c r="D53" s="56" t="s">
        <v>15</v>
      </c>
      <c r="E53" s="56" t="s">
        <v>15</v>
      </c>
      <c r="F53" s="56" t="s">
        <v>15</v>
      </c>
      <c r="G53" s="56" t="s">
        <v>2662</v>
      </c>
      <c r="H53" s="56" t="s">
        <v>2668</v>
      </c>
      <c r="I53" s="56" t="s">
        <v>74</v>
      </c>
      <c r="J53" s="56" t="s">
        <v>1012</v>
      </c>
      <c r="K53" s="56" t="s">
        <v>2564</v>
      </c>
      <c r="L53" s="56" t="s">
        <v>15</v>
      </c>
      <c r="M53" s="56" t="s">
        <v>2669</v>
      </c>
    </row>
    <row r="54" spans="1:13" x14ac:dyDescent="0.25">
      <c r="A54" s="55" t="s">
        <v>4005</v>
      </c>
      <c r="B54" s="57" t="str">
        <f t="shared" si="0"/>
        <v>OPTO,LED,ORANGE,NATIONSTAR,NCD0603O1,0603</v>
      </c>
      <c r="C54" s="56" t="s">
        <v>15</v>
      </c>
      <c r="D54" s="56" t="s">
        <v>15</v>
      </c>
      <c r="E54" s="56" t="s">
        <v>15</v>
      </c>
      <c r="F54" s="56" t="s">
        <v>15</v>
      </c>
      <c r="G54" s="56" t="s">
        <v>4994</v>
      </c>
      <c r="H54" s="56" t="s">
        <v>2670</v>
      </c>
      <c r="I54" s="56" t="s">
        <v>74</v>
      </c>
      <c r="J54" s="56" t="s">
        <v>1012</v>
      </c>
      <c r="K54" s="56" t="s">
        <v>2671</v>
      </c>
      <c r="L54" s="56" t="s">
        <v>15</v>
      </c>
      <c r="M54" s="56" t="s">
        <v>2672</v>
      </c>
    </row>
    <row r="55" spans="1:13" x14ac:dyDescent="0.25">
      <c r="A55" s="55" t="s">
        <v>4006</v>
      </c>
      <c r="B55" s="57" t="str">
        <f t="shared" si="0"/>
        <v>OPTO,LED,BLUE,,,0603</v>
      </c>
      <c r="C55" s="56" t="s">
        <v>15</v>
      </c>
      <c r="D55" s="56" t="s">
        <v>15</v>
      </c>
      <c r="E55" s="56" t="s">
        <v>15</v>
      </c>
      <c r="F55" s="56" t="s">
        <v>15</v>
      </c>
      <c r="G55" s="56" t="s">
        <v>15</v>
      </c>
      <c r="H55" s="56" t="s">
        <v>15</v>
      </c>
      <c r="I55" s="56" t="s">
        <v>74</v>
      </c>
      <c r="J55" s="56" t="s">
        <v>1012</v>
      </c>
      <c r="K55" s="56" t="s">
        <v>2673</v>
      </c>
      <c r="L55" s="56" t="s">
        <v>15</v>
      </c>
      <c r="M55" s="56" t="s">
        <v>2674</v>
      </c>
    </row>
    <row r="56" spans="1:13" x14ac:dyDescent="0.25">
      <c r="A56" s="55" t="s">
        <v>4007</v>
      </c>
      <c r="B56" s="57" t="str">
        <f t="shared" si="0"/>
        <v>OPTO,LED,YELLOW-GREEN,ORIENT,ORH-YG36A,0603</v>
      </c>
      <c r="C56" s="56" t="s">
        <v>15</v>
      </c>
      <c r="D56" s="56" t="s">
        <v>15</v>
      </c>
      <c r="E56" s="56" t="s">
        <v>15</v>
      </c>
      <c r="F56" s="56" t="s">
        <v>15</v>
      </c>
      <c r="G56" s="56" t="s">
        <v>2662</v>
      </c>
      <c r="H56" s="56" t="s">
        <v>2675</v>
      </c>
      <c r="I56" s="56" t="s">
        <v>74</v>
      </c>
      <c r="J56" s="56" t="s">
        <v>1012</v>
      </c>
      <c r="K56" s="56" t="s">
        <v>2676</v>
      </c>
      <c r="L56" s="56" t="s">
        <v>15</v>
      </c>
      <c r="M56" s="56" t="s">
        <v>2677</v>
      </c>
    </row>
    <row r="57" spans="1:13" x14ac:dyDescent="0.25">
      <c r="A57" s="55" t="s">
        <v>4008</v>
      </c>
      <c r="B57" s="57" t="str">
        <f t="shared" si="0"/>
        <v>OPTO,LED,WHITE,ORIENT,ORH-W46G,0603</v>
      </c>
      <c r="C57" s="56" t="s">
        <v>15</v>
      </c>
      <c r="D57" s="56" t="s">
        <v>15</v>
      </c>
      <c r="E57" s="56" t="s">
        <v>15</v>
      </c>
      <c r="F57" s="56" t="s">
        <v>15</v>
      </c>
      <c r="G57" s="56" t="s">
        <v>2662</v>
      </c>
      <c r="H57" s="56" t="s">
        <v>2668</v>
      </c>
      <c r="I57" s="56" t="s">
        <v>74</v>
      </c>
      <c r="J57" s="56" t="s">
        <v>1012</v>
      </c>
      <c r="K57" s="56" t="s">
        <v>2564</v>
      </c>
      <c r="L57" s="56" t="s">
        <v>15</v>
      </c>
      <c r="M57" s="56" t="s">
        <v>2678</v>
      </c>
    </row>
    <row r="58" spans="1:13" x14ac:dyDescent="0.25">
      <c r="A58" s="55" t="s">
        <v>4009</v>
      </c>
      <c r="B58" s="57" t="str">
        <f t="shared" si="0"/>
        <v>OPTO,OLED 128X32,I2C,BLUE/WHITE,MISC,MISC,MODULE I2C</v>
      </c>
      <c r="C58" s="56" t="s">
        <v>15</v>
      </c>
      <c r="D58" s="56" t="s">
        <v>15</v>
      </c>
      <c r="E58" s="56" t="s">
        <v>15</v>
      </c>
      <c r="F58" s="56" t="s">
        <v>15</v>
      </c>
      <c r="G58" s="56" t="s">
        <v>466</v>
      </c>
      <c r="H58" s="56" t="s">
        <v>466</v>
      </c>
      <c r="I58" s="56" t="s">
        <v>2679</v>
      </c>
      <c r="J58" s="56" t="s">
        <v>5001</v>
      </c>
      <c r="K58" s="56" t="s">
        <v>4998</v>
      </c>
      <c r="L58" s="56" t="s">
        <v>15</v>
      </c>
      <c r="M58" s="56" t="s">
        <v>2680</v>
      </c>
    </row>
    <row r="59" spans="1:13" x14ac:dyDescent="0.25">
      <c r="A59" s="55" t="s">
        <v>4010</v>
      </c>
      <c r="B59" s="57" t="str">
        <f t="shared" si="0"/>
        <v>OPTO,OPTOISOLATOR,ANALOG,BROADCOM,HCNR200,DIP-8</v>
      </c>
      <c r="C59" s="56" t="s">
        <v>15</v>
      </c>
      <c r="D59" s="56" t="s">
        <v>15</v>
      </c>
      <c r="E59" s="56" t="s">
        <v>15</v>
      </c>
      <c r="F59" s="56" t="s">
        <v>15</v>
      </c>
      <c r="G59" s="56" t="s">
        <v>2681</v>
      </c>
      <c r="H59" s="56" t="s">
        <v>2682</v>
      </c>
      <c r="I59" s="56" t="s">
        <v>5012</v>
      </c>
      <c r="J59" s="56" t="s">
        <v>5013</v>
      </c>
      <c r="K59" s="56" t="s">
        <v>1561</v>
      </c>
      <c r="L59" s="56" t="s">
        <v>15</v>
      </c>
      <c r="M59" s="56" t="s">
        <v>2683</v>
      </c>
    </row>
    <row r="60" spans="1:13" x14ac:dyDescent="0.25">
      <c r="A60" s="55" t="s">
        <v>4011</v>
      </c>
      <c r="B60" s="57" t="str">
        <f t="shared" si="0"/>
        <v>OPTO,LED,GREEN,PANASONIC,LN363GCP,TH</v>
      </c>
      <c r="C60" s="56" t="s">
        <v>15</v>
      </c>
      <c r="D60" s="56" t="s">
        <v>15</v>
      </c>
      <c r="E60" s="56" t="s">
        <v>15</v>
      </c>
      <c r="F60" s="56" t="s">
        <v>15</v>
      </c>
      <c r="G60" s="56" t="s">
        <v>22</v>
      </c>
      <c r="H60" s="56" t="s">
        <v>2684</v>
      </c>
      <c r="I60" s="56" t="s">
        <v>424</v>
      </c>
      <c r="J60" s="56" t="s">
        <v>1012</v>
      </c>
      <c r="K60" s="56" t="s">
        <v>2568</v>
      </c>
      <c r="L60" s="56" t="s">
        <v>15</v>
      </c>
      <c r="M60" s="56" t="s">
        <v>2685</v>
      </c>
    </row>
    <row r="61" spans="1:13" x14ac:dyDescent="0.25">
      <c r="A61" s="55" t="s">
        <v>4012</v>
      </c>
      <c r="B61" s="57" t="str">
        <f t="shared" si="0"/>
        <v>OPTO,LED,GREEN,LITE-ON,LTL4233,TH5MM</v>
      </c>
      <c r="C61" s="56" t="s">
        <v>15</v>
      </c>
      <c r="D61" s="56" t="s">
        <v>15</v>
      </c>
      <c r="E61" s="56" t="s">
        <v>15</v>
      </c>
      <c r="F61" s="56" t="s">
        <v>15</v>
      </c>
      <c r="G61" s="56" t="s">
        <v>5000</v>
      </c>
      <c r="H61" s="56" t="s">
        <v>2686</v>
      </c>
      <c r="I61" s="56" t="s">
        <v>2589</v>
      </c>
      <c r="J61" s="56" t="s">
        <v>1012</v>
      </c>
      <c r="K61" s="56" t="s">
        <v>2568</v>
      </c>
      <c r="L61" s="56" t="s">
        <v>15</v>
      </c>
      <c r="M61" s="56" t="s">
        <v>2687</v>
      </c>
    </row>
    <row r="62" spans="1:13" x14ac:dyDescent="0.25">
      <c r="A62" s="55" t="s">
        <v>4013</v>
      </c>
      <c r="B62" s="57" t="str">
        <f t="shared" si="0"/>
        <v>OPTO,LED,YELOW,AVAGO,HLMP-1719,TH3MM</v>
      </c>
      <c r="C62" s="56" t="s">
        <v>15</v>
      </c>
      <c r="D62" s="56" t="s">
        <v>15</v>
      </c>
      <c r="E62" s="56" t="s">
        <v>15</v>
      </c>
      <c r="F62" s="56" t="s">
        <v>15</v>
      </c>
      <c r="G62" s="56" t="s">
        <v>4993</v>
      </c>
      <c r="H62" s="56" t="s">
        <v>2688</v>
      </c>
      <c r="I62" s="56" t="s">
        <v>2580</v>
      </c>
      <c r="J62" s="56" t="s">
        <v>1012</v>
      </c>
      <c r="K62" s="56" t="s">
        <v>4992</v>
      </c>
      <c r="L62" s="56" t="s">
        <v>15</v>
      </c>
      <c r="M62" s="56" t="s">
        <v>2689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5B94-1654-4F14-991F-F208504BEA63}">
  <dimension ref="A1:T3"/>
  <sheetViews>
    <sheetView workbookViewId="0">
      <selection activeCell="Q1" sqref="Q1:T1"/>
    </sheetView>
  </sheetViews>
  <sheetFormatPr defaultColWidth="45.140625" defaultRowHeight="15" x14ac:dyDescent="0.25"/>
  <cols>
    <col min="1" max="1" width="11.85546875" style="3" bestFit="1" customWidth="1"/>
    <col min="2" max="2" width="30.42578125" style="3" bestFit="1" customWidth="1"/>
    <col min="3" max="3" width="10.42578125" style="3" bestFit="1" customWidth="1"/>
    <col min="4" max="4" width="11.42578125" style="3" bestFit="1" customWidth="1"/>
    <col min="5" max="5" width="12.7109375" style="3" bestFit="1" customWidth="1"/>
    <col min="6" max="6" width="13.85546875" style="3" bestFit="1" customWidth="1"/>
    <col min="7" max="7" width="13.140625" style="3" bestFit="1" customWidth="1"/>
    <col min="8" max="8" width="19.85546875" style="3" bestFit="1" customWidth="1"/>
    <col min="9" max="9" width="8.140625" style="3" bestFit="1" customWidth="1"/>
    <col min="10" max="10" width="6.5703125" style="3" bestFit="1" customWidth="1"/>
    <col min="11" max="11" width="9.5703125" style="3" bestFit="1" customWidth="1"/>
    <col min="12" max="12" width="10.85546875" style="3" bestFit="1" customWidth="1"/>
    <col min="13" max="13" width="7.85546875" style="3" bestFit="1" customWidth="1"/>
    <col min="14" max="14" width="8.42578125" style="3" bestFit="1" customWidth="1"/>
    <col min="15" max="15" width="15.140625" style="3" bestFit="1" customWidth="1"/>
    <col min="16" max="16" width="8.42578125" style="3" bestFit="1" customWidth="1"/>
    <col min="17" max="16384" width="45.140625" style="3"/>
  </cols>
  <sheetData>
    <row r="1" spans="1:20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416</v>
      </c>
      <c r="L1" s="12" t="s">
        <v>2690</v>
      </c>
      <c r="M1" s="12" t="s">
        <v>11</v>
      </c>
      <c r="N1" s="12" t="s">
        <v>12</v>
      </c>
      <c r="O1" s="12" t="s">
        <v>13</v>
      </c>
      <c r="P1" s="12" t="s">
        <v>14</v>
      </c>
      <c r="Q1" s="27" t="s">
        <v>61</v>
      </c>
      <c r="R1" s="27" t="s">
        <v>1971</v>
      </c>
      <c r="S1" s="27" t="s">
        <v>1120</v>
      </c>
      <c r="T1" s="27" t="s">
        <v>521</v>
      </c>
    </row>
    <row r="2" spans="1:20" x14ac:dyDescent="0.25">
      <c r="A2" s="13">
        <v>1</v>
      </c>
      <c r="B2" s="14" t="s">
        <v>2691</v>
      </c>
      <c r="C2" s="14" t="s">
        <v>15</v>
      </c>
      <c r="D2" s="14" t="s">
        <v>15</v>
      </c>
      <c r="E2" s="14" t="s">
        <v>15</v>
      </c>
      <c r="F2" s="14" t="s">
        <v>15</v>
      </c>
      <c r="G2" s="14" t="s">
        <v>15</v>
      </c>
      <c r="H2" s="14" t="s">
        <v>15</v>
      </c>
      <c r="I2" s="14" t="s">
        <v>15</v>
      </c>
      <c r="J2" s="14" t="s">
        <v>15</v>
      </c>
      <c r="K2" s="14" t="s">
        <v>15</v>
      </c>
      <c r="L2" s="14" t="s">
        <v>15</v>
      </c>
      <c r="M2" s="14" t="s">
        <v>15</v>
      </c>
      <c r="N2" s="14" t="s">
        <v>15</v>
      </c>
      <c r="O2" s="14" t="s">
        <v>15</v>
      </c>
      <c r="P2" s="14" t="s">
        <v>2692</v>
      </c>
    </row>
    <row r="3" spans="1:20" x14ac:dyDescent="0.25">
      <c r="A3" s="13">
        <v>2</v>
      </c>
      <c r="B3" s="14" t="s">
        <v>2693</v>
      </c>
      <c r="C3" s="14" t="s">
        <v>15</v>
      </c>
      <c r="D3" s="14" t="s">
        <v>15</v>
      </c>
      <c r="E3" s="14" t="s">
        <v>15</v>
      </c>
      <c r="F3" s="14" t="s">
        <v>15</v>
      </c>
      <c r="G3" s="14" t="s">
        <v>15</v>
      </c>
      <c r="H3" s="14" t="s">
        <v>15</v>
      </c>
      <c r="I3" s="14" t="s">
        <v>15</v>
      </c>
      <c r="J3" s="14" t="s">
        <v>15</v>
      </c>
      <c r="K3" s="14" t="s">
        <v>15</v>
      </c>
      <c r="L3" s="14" t="s">
        <v>15</v>
      </c>
      <c r="M3" s="14" t="s">
        <v>15</v>
      </c>
      <c r="N3" s="14" t="s">
        <v>15</v>
      </c>
      <c r="O3" s="14" t="s">
        <v>15</v>
      </c>
      <c r="P3" s="14" t="s">
        <v>2694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E09B-F587-4AF8-8706-F5E0A807EAE0}">
  <dimension ref="A1:R31"/>
  <sheetViews>
    <sheetView tabSelected="1" workbookViewId="0">
      <selection activeCell="L2" sqref="L2"/>
    </sheetView>
  </sheetViews>
  <sheetFormatPr defaultColWidth="29.42578125" defaultRowHeight="15" x14ac:dyDescent="0.25"/>
  <cols>
    <col min="1" max="1" width="9.7109375" style="3" bestFit="1" customWidth="1"/>
    <col min="2" max="2" width="25.140625" style="66" bestFit="1" customWidth="1"/>
    <col min="3" max="3" width="10.42578125" style="3" bestFit="1" customWidth="1"/>
    <col min="4" max="4" width="11.42578125" style="3" bestFit="1" customWidth="1"/>
    <col min="5" max="5" width="12.7109375" style="3" bestFit="1" customWidth="1"/>
    <col min="6" max="6" width="13.85546875" style="3" bestFit="1" customWidth="1"/>
    <col min="7" max="7" width="16" style="3" bestFit="1" customWidth="1"/>
    <col min="8" max="8" width="13.5703125" style="3" bestFit="1" customWidth="1"/>
    <col min="9" max="9" width="19.85546875" style="3" bestFit="1" customWidth="1"/>
    <col min="10" max="10" width="25.7109375" style="3" bestFit="1" customWidth="1"/>
    <col min="11" max="11" width="8.140625" style="3" bestFit="1" customWidth="1"/>
    <col min="12" max="12" width="7.85546875" style="3" bestFit="1" customWidth="1"/>
    <col min="13" max="13" width="8.42578125" style="3" bestFit="1" customWidth="1"/>
    <col min="14" max="14" width="15.140625" style="3" bestFit="1" customWidth="1"/>
    <col min="15" max="16384" width="29.42578125" style="3"/>
  </cols>
  <sheetData>
    <row r="1" spans="1:18" s="27" customFormat="1" x14ac:dyDescent="0.25">
      <c r="A1" s="28" t="s">
        <v>0</v>
      </c>
      <c r="B1" s="3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33" t="s">
        <v>4014</v>
      </c>
      <c r="H1" s="28" t="s">
        <v>6</v>
      </c>
      <c r="I1" s="28" t="s">
        <v>7</v>
      </c>
      <c r="J1" s="28" t="s">
        <v>14</v>
      </c>
      <c r="K1" s="28" t="s">
        <v>8</v>
      </c>
      <c r="L1" s="33" t="s">
        <v>5181</v>
      </c>
      <c r="M1" s="28" t="s">
        <v>12</v>
      </c>
      <c r="N1" s="28" t="s">
        <v>13</v>
      </c>
      <c r="O1" s="27" t="s">
        <v>61</v>
      </c>
      <c r="P1" s="27" t="s">
        <v>1971</v>
      </c>
      <c r="Q1" s="27" t="s">
        <v>1120</v>
      </c>
      <c r="R1" s="27" t="s">
        <v>521</v>
      </c>
    </row>
    <row r="2" spans="1:18" x14ac:dyDescent="0.25">
      <c r="A2" s="63" t="s">
        <v>5151</v>
      </c>
      <c r="B2" s="65" t="s">
        <v>15</v>
      </c>
      <c r="C2" s="64" t="s">
        <v>15</v>
      </c>
      <c r="D2" s="64" t="s">
        <v>15</v>
      </c>
      <c r="E2" s="64" t="s">
        <v>15</v>
      </c>
      <c r="F2" s="64" t="s">
        <v>15</v>
      </c>
      <c r="G2" s="64" t="s">
        <v>15</v>
      </c>
      <c r="H2" s="64" t="s">
        <v>2756</v>
      </c>
      <c r="I2" s="64" t="s">
        <v>2757</v>
      </c>
      <c r="J2" s="64" t="s">
        <v>2758</v>
      </c>
      <c r="K2" s="64" t="s">
        <v>15</v>
      </c>
      <c r="L2" s="64" t="s">
        <v>15</v>
      </c>
      <c r="M2" s="64" t="s">
        <v>15</v>
      </c>
      <c r="N2" s="64" t="s">
        <v>15</v>
      </c>
    </row>
    <row r="3" spans="1:18" x14ac:dyDescent="0.25">
      <c r="A3" s="63" t="s">
        <v>5152</v>
      </c>
      <c r="B3" s="65" t="s">
        <v>15</v>
      </c>
      <c r="C3" s="64" t="s">
        <v>15</v>
      </c>
      <c r="D3" s="64" t="s">
        <v>15</v>
      </c>
      <c r="E3" s="64" t="s">
        <v>15</v>
      </c>
      <c r="F3" s="64" t="s">
        <v>15</v>
      </c>
      <c r="G3" s="64" t="s">
        <v>15</v>
      </c>
      <c r="H3" s="64" t="s">
        <v>2759</v>
      </c>
      <c r="I3" s="64" t="s">
        <v>2760</v>
      </c>
      <c r="J3" s="64" t="s">
        <v>2761</v>
      </c>
      <c r="K3" s="64" t="s">
        <v>15</v>
      </c>
      <c r="L3" s="64" t="s">
        <v>15</v>
      </c>
      <c r="M3" s="64" t="s">
        <v>15</v>
      </c>
      <c r="N3" s="64" t="s">
        <v>15</v>
      </c>
    </row>
    <row r="4" spans="1:18" x14ac:dyDescent="0.25">
      <c r="A4" s="63" t="s">
        <v>5153</v>
      </c>
      <c r="B4" s="65" t="s">
        <v>15</v>
      </c>
      <c r="C4" s="64" t="s">
        <v>15</v>
      </c>
      <c r="D4" s="64" t="s">
        <v>15</v>
      </c>
      <c r="E4" s="64" t="s">
        <v>15</v>
      </c>
      <c r="F4" s="64" t="s">
        <v>15</v>
      </c>
      <c r="G4" s="64" t="s">
        <v>15</v>
      </c>
      <c r="H4" s="64" t="s">
        <v>2762</v>
      </c>
      <c r="I4" s="64" t="s">
        <v>2763</v>
      </c>
      <c r="J4" s="64" t="s">
        <v>2764</v>
      </c>
      <c r="K4" s="64" t="s">
        <v>15</v>
      </c>
      <c r="L4" s="64" t="s">
        <v>15</v>
      </c>
      <c r="M4" s="64" t="s">
        <v>15</v>
      </c>
      <c r="N4" s="64" t="s">
        <v>15</v>
      </c>
    </row>
    <row r="5" spans="1:18" x14ac:dyDescent="0.25">
      <c r="A5" s="63" t="s">
        <v>5154</v>
      </c>
      <c r="B5" s="65" t="s">
        <v>15</v>
      </c>
      <c r="C5" s="64" t="s">
        <v>15</v>
      </c>
      <c r="D5" s="64" t="s">
        <v>15</v>
      </c>
      <c r="E5" s="64" t="s">
        <v>15</v>
      </c>
      <c r="F5" s="64" t="s">
        <v>15</v>
      </c>
      <c r="G5" s="64" t="s">
        <v>15</v>
      </c>
      <c r="H5" s="64" t="s">
        <v>2756</v>
      </c>
      <c r="I5" s="64" t="s">
        <v>2765</v>
      </c>
      <c r="J5" s="64" t="s">
        <v>2766</v>
      </c>
      <c r="K5" s="64" t="s">
        <v>15</v>
      </c>
      <c r="L5" s="64" t="s">
        <v>15</v>
      </c>
      <c r="M5" s="64" t="s">
        <v>15</v>
      </c>
      <c r="N5" s="64" t="s">
        <v>15</v>
      </c>
    </row>
    <row r="6" spans="1:18" x14ac:dyDescent="0.25">
      <c r="A6" s="63" t="s">
        <v>5155</v>
      </c>
      <c r="B6" s="65" t="s">
        <v>15</v>
      </c>
      <c r="C6" s="64" t="s">
        <v>15</v>
      </c>
      <c r="D6" s="64" t="s">
        <v>15</v>
      </c>
      <c r="E6" s="64" t="s">
        <v>15</v>
      </c>
      <c r="F6" s="64" t="s">
        <v>15</v>
      </c>
      <c r="G6" s="64" t="s">
        <v>15</v>
      </c>
      <c r="H6" s="64" t="s">
        <v>1968</v>
      </c>
      <c r="I6" s="64" t="s">
        <v>2767</v>
      </c>
      <c r="J6" s="64" t="s">
        <v>2768</v>
      </c>
      <c r="K6" s="64" t="s">
        <v>15</v>
      </c>
      <c r="L6" s="64" t="s">
        <v>15</v>
      </c>
      <c r="M6" s="64" t="s">
        <v>15</v>
      </c>
      <c r="N6" s="64" t="s">
        <v>15</v>
      </c>
    </row>
    <row r="7" spans="1:18" x14ac:dyDescent="0.25">
      <c r="A7" s="63" t="s">
        <v>5156</v>
      </c>
      <c r="B7" s="65" t="s">
        <v>15</v>
      </c>
      <c r="C7" s="64" t="s">
        <v>15</v>
      </c>
      <c r="D7" s="64" t="s">
        <v>15</v>
      </c>
      <c r="E7" s="64" t="s">
        <v>15</v>
      </c>
      <c r="F7" s="64" t="s">
        <v>15</v>
      </c>
      <c r="G7" s="64" t="s">
        <v>15</v>
      </c>
      <c r="H7" s="64" t="s">
        <v>1968</v>
      </c>
      <c r="I7" s="64" t="s">
        <v>2769</v>
      </c>
      <c r="J7" s="64" t="s">
        <v>2770</v>
      </c>
      <c r="K7" s="64" t="s">
        <v>15</v>
      </c>
      <c r="L7" s="64" t="s">
        <v>15</v>
      </c>
      <c r="M7" s="64" t="s">
        <v>15</v>
      </c>
      <c r="N7" s="64" t="s">
        <v>15</v>
      </c>
    </row>
    <row r="8" spans="1:18" x14ac:dyDescent="0.25">
      <c r="A8" s="63" t="s">
        <v>5157</v>
      </c>
      <c r="B8" s="65" t="s">
        <v>15</v>
      </c>
      <c r="C8" s="64" t="s">
        <v>15</v>
      </c>
      <c r="D8" s="64" t="s">
        <v>15</v>
      </c>
      <c r="E8" s="64" t="s">
        <v>15</v>
      </c>
      <c r="F8" s="64" t="s">
        <v>15</v>
      </c>
      <c r="G8" s="64" t="s">
        <v>15</v>
      </c>
      <c r="H8" s="64" t="s">
        <v>2771</v>
      </c>
      <c r="I8" s="64" t="s">
        <v>2772</v>
      </c>
      <c r="J8" s="64" t="s">
        <v>2773</v>
      </c>
      <c r="K8" s="64" t="s">
        <v>15</v>
      </c>
      <c r="L8" s="64" t="s">
        <v>15</v>
      </c>
      <c r="M8" s="64" t="s">
        <v>15</v>
      </c>
      <c r="N8" s="64" t="s">
        <v>15</v>
      </c>
    </row>
    <row r="9" spans="1:18" x14ac:dyDescent="0.25">
      <c r="A9" s="63" t="s">
        <v>5158</v>
      </c>
      <c r="B9" s="65" t="s">
        <v>15</v>
      </c>
      <c r="C9" s="64" t="s">
        <v>15</v>
      </c>
      <c r="D9" s="64" t="s">
        <v>15</v>
      </c>
      <c r="E9" s="64" t="s">
        <v>15</v>
      </c>
      <c r="F9" s="64" t="s">
        <v>15</v>
      </c>
      <c r="G9" s="64" t="s">
        <v>15</v>
      </c>
      <c r="H9" s="64" t="s">
        <v>2774</v>
      </c>
      <c r="I9" s="64" t="s">
        <v>2775</v>
      </c>
      <c r="J9" s="64" t="s">
        <v>2776</v>
      </c>
      <c r="K9" s="64" t="s">
        <v>15</v>
      </c>
      <c r="L9" s="64" t="s">
        <v>15</v>
      </c>
      <c r="M9" s="64" t="s">
        <v>15</v>
      </c>
      <c r="N9" s="64" t="s">
        <v>15</v>
      </c>
    </row>
    <row r="10" spans="1:18" x14ac:dyDescent="0.25">
      <c r="A10" s="63" t="s">
        <v>5159</v>
      </c>
      <c r="B10" s="65" t="s">
        <v>15</v>
      </c>
      <c r="C10" s="64" t="s">
        <v>15</v>
      </c>
      <c r="D10" s="64" t="s">
        <v>15</v>
      </c>
      <c r="E10" s="64" t="s">
        <v>15</v>
      </c>
      <c r="F10" s="64" t="s">
        <v>15</v>
      </c>
      <c r="G10" s="64" t="s">
        <v>15</v>
      </c>
      <c r="H10" s="64" t="s">
        <v>2756</v>
      </c>
      <c r="I10" s="64" t="s">
        <v>2777</v>
      </c>
      <c r="J10" s="64" t="s">
        <v>2778</v>
      </c>
      <c r="K10" s="64" t="s">
        <v>15</v>
      </c>
      <c r="L10" s="64" t="s">
        <v>15</v>
      </c>
      <c r="M10" s="64" t="s">
        <v>15</v>
      </c>
      <c r="N10" s="64" t="s">
        <v>15</v>
      </c>
    </row>
    <row r="11" spans="1:18" x14ac:dyDescent="0.25">
      <c r="A11" s="63" t="s">
        <v>5160</v>
      </c>
      <c r="B11" s="65" t="s">
        <v>15</v>
      </c>
      <c r="C11" s="64" t="s">
        <v>15</v>
      </c>
      <c r="D11" s="64" t="s">
        <v>15</v>
      </c>
      <c r="E11" s="64" t="s">
        <v>15</v>
      </c>
      <c r="F11" s="64" t="s">
        <v>15</v>
      </c>
      <c r="G11" s="64" t="s">
        <v>15</v>
      </c>
      <c r="H11" s="64" t="s">
        <v>2779</v>
      </c>
      <c r="I11" s="64" t="s">
        <v>2780</v>
      </c>
      <c r="J11" s="64" t="s">
        <v>2781</v>
      </c>
      <c r="K11" s="64" t="s">
        <v>15</v>
      </c>
      <c r="L11" s="64" t="s">
        <v>15</v>
      </c>
      <c r="M11" s="64" t="s">
        <v>2782</v>
      </c>
      <c r="N11" s="64" t="s">
        <v>2783</v>
      </c>
    </row>
    <row r="12" spans="1:18" x14ac:dyDescent="0.25">
      <c r="A12" s="63" t="s">
        <v>5161</v>
      </c>
      <c r="B12" s="65" t="s">
        <v>15</v>
      </c>
      <c r="C12" s="64" t="s">
        <v>15</v>
      </c>
      <c r="D12" s="64" t="s">
        <v>15</v>
      </c>
      <c r="E12" s="64" t="s">
        <v>15</v>
      </c>
      <c r="F12" s="64" t="s">
        <v>15</v>
      </c>
      <c r="G12" s="64" t="s">
        <v>15</v>
      </c>
      <c r="H12" s="64" t="s">
        <v>2771</v>
      </c>
      <c r="I12" s="64" t="s">
        <v>2784</v>
      </c>
      <c r="J12" s="64" t="s">
        <v>2785</v>
      </c>
      <c r="K12" s="64" t="s">
        <v>15</v>
      </c>
      <c r="L12" s="64" t="s">
        <v>15</v>
      </c>
      <c r="M12" s="64" t="s">
        <v>15</v>
      </c>
      <c r="N12" s="64" t="s">
        <v>15</v>
      </c>
    </row>
    <row r="13" spans="1:18" x14ac:dyDescent="0.25">
      <c r="A13" s="63" t="s">
        <v>5162</v>
      </c>
      <c r="B13" s="65" t="s">
        <v>15</v>
      </c>
      <c r="C13" s="64" t="s">
        <v>15</v>
      </c>
      <c r="D13" s="64" t="s">
        <v>15</v>
      </c>
      <c r="E13" s="64" t="s">
        <v>15</v>
      </c>
      <c r="F13" s="64" t="s">
        <v>15</v>
      </c>
      <c r="G13" s="64" t="s">
        <v>15</v>
      </c>
      <c r="H13" s="64" t="s">
        <v>2786</v>
      </c>
      <c r="I13" s="64" t="s">
        <v>2787</v>
      </c>
      <c r="J13" s="64" t="s">
        <v>2788</v>
      </c>
      <c r="K13" s="64" t="s">
        <v>15</v>
      </c>
      <c r="L13" s="64" t="s">
        <v>15</v>
      </c>
      <c r="M13" s="64" t="s">
        <v>15</v>
      </c>
      <c r="N13" s="64" t="s">
        <v>15</v>
      </c>
    </row>
    <row r="14" spans="1:18" x14ac:dyDescent="0.25">
      <c r="A14" s="63" t="s">
        <v>5163</v>
      </c>
      <c r="B14" s="65" t="s">
        <v>15</v>
      </c>
      <c r="C14" s="64" t="s">
        <v>15</v>
      </c>
      <c r="D14" s="64" t="s">
        <v>15</v>
      </c>
      <c r="E14" s="64" t="s">
        <v>15</v>
      </c>
      <c r="F14" s="64" t="s">
        <v>15</v>
      </c>
      <c r="G14" s="64" t="s">
        <v>15</v>
      </c>
      <c r="H14" s="64" t="s">
        <v>2789</v>
      </c>
      <c r="I14" s="64" t="s">
        <v>2790</v>
      </c>
      <c r="J14" s="64" t="s">
        <v>2791</v>
      </c>
      <c r="K14" s="64" t="s">
        <v>15</v>
      </c>
      <c r="L14" s="64" t="s">
        <v>15</v>
      </c>
      <c r="M14" s="64" t="s">
        <v>15</v>
      </c>
      <c r="N14" s="64" t="s">
        <v>15</v>
      </c>
    </row>
    <row r="15" spans="1:18" x14ac:dyDescent="0.25">
      <c r="A15" s="63" t="s">
        <v>5164</v>
      </c>
      <c r="B15" s="65" t="s">
        <v>15</v>
      </c>
      <c r="C15" s="64" t="s">
        <v>15</v>
      </c>
      <c r="D15" s="64" t="s">
        <v>15</v>
      </c>
      <c r="E15" s="64" t="s">
        <v>15</v>
      </c>
      <c r="F15" s="64" t="s">
        <v>15</v>
      </c>
      <c r="G15" s="64" t="s">
        <v>15</v>
      </c>
      <c r="H15" s="64" t="s">
        <v>2792</v>
      </c>
      <c r="I15" s="64" t="s">
        <v>2793</v>
      </c>
      <c r="J15" s="64" t="s">
        <v>2794</v>
      </c>
      <c r="K15" s="64" t="s">
        <v>15</v>
      </c>
      <c r="L15" s="64" t="s">
        <v>15</v>
      </c>
      <c r="M15" s="64" t="s">
        <v>15</v>
      </c>
      <c r="N15" s="64" t="s">
        <v>15</v>
      </c>
    </row>
    <row r="16" spans="1:18" x14ac:dyDescent="0.25">
      <c r="A16" s="63" t="s">
        <v>5165</v>
      </c>
      <c r="B16" s="65" t="s">
        <v>15</v>
      </c>
      <c r="C16" s="64" t="s">
        <v>15</v>
      </c>
      <c r="D16" s="64" t="s">
        <v>15</v>
      </c>
      <c r="E16" s="64" t="s">
        <v>15</v>
      </c>
      <c r="F16" s="64" t="s">
        <v>15</v>
      </c>
      <c r="G16" s="64" t="s">
        <v>15</v>
      </c>
      <c r="H16" s="64" t="s">
        <v>2759</v>
      </c>
      <c r="I16" s="64" t="s">
        <v>2795</v>
      </c>
      <c r="J16" s="64" t="s">
        <v>2796</v>
      </c>
      <c r="K16" s="64" t="s">
        <v>15</v>
      </c>
      <c r="L16" s="64" t="s">
        <v>15</v>
      </c>
      <c r="M16" s="64" t="s">
        <v>15</v>
      </c>
      <c r="N16" s="64" t="s">
        <v>15</v>
      </c>
    </row>
    <row r="17" spans="1:14" x14ac:dyDescent="0.25">
      <c r="A17" s="63" t="s">
        <v>5166</v>
      </c>
      <c r="B17" s="65" t="s">
        <v>15</v>
      </c>
      <c r="C17" s="64" t="s">
        <v>15</v>
      </c>
      <c r="D17" s="64" t="s">
        <v>15</v>
      </c>
      <c r="E17" s="64" t="s">
        <v>15</v>
      </c>
      <c r="F17" s="64" t="s">
        <v>15</v>
      </c>
      <c r="G17" s="64" t="s">
        <v>15</v>
      </c>
      <c r="H17" s="64" t="s">
        <v>22</v>
      </c>
      <c r="I17" s="64" t="s">
        <v>2797</v>
      </c>
      <c r="J17" s="64" t="s">
        <v>2798</v>
      </c>
      <c r="K17" s="64" t="s">
        <v>15</v>
      </c>
      <c r="L17" s="64" t="s">
        <v>15</v>
      </c>
      <c r="M17" s="64" t="s">
        <v>15</v>
      </c>
      <c r="N17" s="64" t="s">
        <v>2799</v>
      </c>
    </row>
    <row r="18" spans="1:14" x14ac:dyDescent="0.25">
      <c r="A18" s="63" t="s">
        <v>5167</v>
      </c>
      <c r="B18" s="65" t="s">
        <v>15</v>
      </c>
      <c r="C18" s="64" t="s">
        <v>15</v>
      </c>
      <c r="D18" s="64" t="s">
        <v>15</v>
      </c>
      <c r="E18" s="64" t="s">
        <v>15</v>
      </c>
      <c r="F18" s="64" t="s">
        <v>15</v>
      </c>
      <c r="G18" s="64" t="s">
        <v>15</v>
      </c>
      <c r="H18" s="64" t="s">
        <v>2762</v>
      </c>
      <c r="I18" s="64" t="s">
        <v>2800</v>
      </c>
      <c r="J18" s="64" t="s">
        <v>2801</v>
      </c>
      <c r="K18" s="64" t="s">
        <v>15</v>
      </c>
      <c r="L18" s="64" t="s">
        <v>15</v>
      </c>
      <c r="M18" s="64" t="s">
        <v>15</v>
      </c>
      <c r="N18" s="64" t="s">
        <v>15</v>
      </c>
    </row>
    <row r="19" spans="1:14" x14ac:dyDescent="0.25">
      <c r="A19" s="63" t="s">
        <v>5168</v>
      </c>
      <c r="B19" s="65" t="s">
        <v>15</v>
      </c>
      <c r="C19" s="64" t="s">
        <v>15</v>
      </c>
      <c r="D19" s="64" t="s">
        <v>15</v>
      </c>
      <c r="E19" s="64" t="s">
        <v>15</v>
      </c>
      <c r="F19" s="64" t="s">
        <v>15</v>
      </c>
      <c r="G19" s="64" t="s">
        <v>15</v>
      </c>
      <c r="H19" s="64" t="s">
        <v>2771</v>
      </c>
      <c r="I19" s="64" t="s">
        <v>2802</v>
      </c>
      <c r="J19" s="64" t="s">
        <v>2803</v>
      </c>
      <c r="K19" s="64" t="s">
        <v>15</v>
      </c>
      <c r="L19" s="64" t="s">
        <v>15</v>
      </c>
      <c r="M19" s="64" t="s">
        <v>15</v>
      </c>
      <c r="N19" s="64" t="s">
        <v>15</v>
      </c>
    </row>
    <row r="20" spans="1:14" x14ac:dyDescent="0.25">
      <c r="A20" s="63" t="s">
        <v>5169</v>
      </c>
      <c r="B20" s="65" t="s">
        <v>15</v>
      </c>
      <c r="C20" s="64" t="s">
        <v>15</v>
      </c>
      <c r="D20" s="64" t="s">
        <v>15</v>
      </c>
      <c r="E20" s="64" t="s">
        <v>15</v>
      </c>
      <c r="F20" s="64" t="s">
        <v>15</v>
      </c>
      <c r="G20" s="64" t="s">
        <v>15</v>
      </c>
      <c r="H20" s="64" t="s">
        <v>2771</v>
      </c>
      <c r="I20" s="64" t="s">
        <v>2804</v>
      </c>
      <c r="J20" s="64" t="s">
        <v>2803</v>
      </c>
      <c r="K20" s="64" t="s">
        <v>15</v>
      </c>
      <c r="L20" s="64" t="s">
        <v>15</v>
      </c>
      <c r="M20" s="64" t="s">
        <v>15</v>
      </c>
      <c r="N20" s="64" t="s">
        <v>15</v>
      </c>
    </row>
    <row r="21" spans="1:14" x14ac:dyDescent="0.25">
      <c r="A21" s="63" t="s">
        <v>5170</v>
      </c>
      <c r="B21" s="65" t="s">
        <v>2805</v>
      </c>
      <c r="C21" s="64" t="s">
        <v>15</v>
      </c>
      <c r="D21" s="64" t="s">
        <v>15</v>
      </c>
      <c r="E21" s="64" t="s">
        <v>15</v>
      </c>
      <c r="F21" s="64" t="s">
        <v>15</v>
      </c>
      <c r="G21" s="64" t="s">
        <v>15</v>
      </c>
      <c r="H21" s="64" t="s">
        <v>22</v>
      </c>
      <c r="I21" s="64" t="s">
        <v>2806</v>
      </c>
      <c r="J21" s="64" t="s">
        <v>2807</v>
      </c>
      <c r="K21" s="64" t="s">
        <v>2808</v>
      </c>
      <c r="L21" s="64" t="s">
        <v>15</v>
      </c>
      <c r="M21" s="64" t="s">
        <v>15</v>
      </c>
      <c r="N21" s="64" t="s">
        <v>15</v>
      </c>
    </row>
    <row r="22" spans="1:14" x14ac:dyDescent="0.25">
      <c r="A22" s="63" t="s">
        <v>5171</v>
      </c>
      <c r="B22" s="65" t="s">
        <v>15</v>
      </c>
      <c r="C22" s="64" t="s">
        <v>15</v>
      </c>
      <c r="D22" s="64" t="s">
        <v>15</v>
      </c>
      <c r="E22" s="64" t="s">
        <v>15</v>
      </c>
      <c r="F22" s="64" t="s">
        <v>15</v>
      </c>
      <c r="G22" s="64" t="s">
        <v>15</v>
      </c>
      <c r="H22" s="64" t="s">
        <v>2809</v>
      </c>
      <c r="I22" s="64" t="s">
        <v>2810</v>
      </c>
      <c r="J22" s="64" t="s">
        <v>2811</v>
      </c>
      <c r="K22" s="64" t="s">
        <v>15</v>
      </c>
      <c r="L22" s="64" t="s">
        <v>15</v>
      </c>
      <c r="M22" s="64" t="s">
        <v>15</v>
      </c>
      <c r="N22" s="64" t="s">
        <v>15</v>
      </c>
    </row>
    <row r="23" spans="1:14" x14ac:dyDescent="0.25">
      <c r="A23" s="63" t="s">
        <v>5172</v>
      </c>
      <c r="B23" s="65" t="s">
        <v>15</v>
      </c>
      <c r="C23" s="64" t="s">
        <v>15</v>
      </c>
      <c r="D23" s="64" t="s">
        <v>15</v>
      </c>
      <c r="E23" s="64" t="s">
        <v>15</v>
      </c>
      <c r="F23" s="64" t="s">
        <v>15</v>
      </c>
      <c r="G23" s="64" t="s">
        <v>15</v>
      </c>
      <c r="H23" s="64" t="s">
        <v>2809</v>
      </c>
      <c r="I23" s="64" t="s">
        <v>2812</v>
      </c>
      <c r="J23" s="64" t="s">
        <v>2813</v>
      </c>
      <c r="K23" s="64" t="s">
        <v>15</v>
      </c>
      <c r="L23" s="64" t="s">
        <v>15</v>
      </c>
      <c r="M23" s="64" t="s">
        <v>15</v>
      </c>
      <c r="N23" s="64" t="s">
        <v>15</v>
      </c>
    </row>
    <row r="24" spans="1:14" x14ac:dyDescent="0.25">
      <c r="A24" s="63" t="s">
        <v>5173</v>
      </c>
      <c r="B24" s="65" t="s">
        <v>15</v>
      </c>
      <c r="C24" s="64" t="s">
        <v>15</v>
      </c>
      <c r="D24" s="64" t="s">
        <v>15</v>
      </c>
      <c r="E24" s="64" t="s">
        <v>15</v>
      </c>
      <c r="F24" s="64" t="s">
        <v>15</v>
      </c>
      <c r="G24" s="64" t="s">
        <v>15</v>
      </c>
      <c r="H24" s="64" t="s">
        <v>2792</v>
      </c>
      <c r="I24" s="64" t="s">
        <v>2814</v>
      </c>
      <c r="J24" s="64" t="s">
        <v>2815</v>
      </c>
      <c r="K24" s="64" t="s">
        <v>15</v>
      </c>
      <c r="L24" s="64" t="s">
        <v>15</v>
      </c>
      <c r="M24" s="64" t="s">
        <v>15</v>
      </c>
      <c r="N24" s="64" t="s">
        <v>15</v>
      </c>
    </row>
    <row r="25" spans="1:14" x14ac:dyDescent="0.25">
      <c r="A25" s="63" t="s">
        <v>5174</v>
      </c>
      <c r="B25" s="65" t="s">
        <v>15</v>
      </c>
      <c r="C25" s="64" t="s">
        <v>15</v>
      </c>
      <c r="D25" s="64" t="s">
        <v>15</v>
      </c>
      <c r="E25" s="64" t="s">
        <v>15</v>
      </c>
      <c r="F25" s="64" t="s">
        <v>15</v>
      </c>
      <c r="G25" s="64" t="s">
        <v>15</v>
      </c>
      <c r="H25" s="64" t="s">
        <v>22</v>
      </c>
      <c r="I25" s="64" t="s">
        <v>2816</v>
      </c>
      <c r="J25" s="64" t="s">
        <v>2817</v>
      </c>
      <c r="K25" s="64" t="s">
        <v>15</v>
      </c>
      <c r="L25" s="64" t="s">
        <v>15</v>
      </c>
      <c r="M25" s="64" t="s">
        <v>15</v>
      </c>
      <c r="N25" s="64" t="s">
        <v>15</v>
      </c>
    </row>
    <row r="26" spans="1:14" x14ac:dyDescent="0.25">
      <c r="A26" s="63" t="s">
        <v>5175</v>
      </c>
      <c r="B26" s="65" t="s">
        <v>15</v>
      </c>
      <c r="C26" s="64" t="s">
        <v>15</v>
      </c>
      <c r="D26" s="64" t="s">
        <v>15</v>
      </c>
      <c r="E26" s="64" t="s">
        <v>15</v>
      </c>
      <c r="F26" s="64" t="s">
        <v>15</v>
      </c>
      <c r="G26" s="64" t="s">
        <v>15</v>
      </c>
      <c r="H26" s="64" t="s">
        <v>2809</v>
      </c>
      <c r="I26" s="64" t="s">
        <v>2818</v>
      </c>
      <c r="J26" s="64" t="s">
        <v>2819</v>
      </c>
      <c r="K26" s="64" t="s">
        <v>15</v>
      </c>
      <c r="L26" s="64" t="s">
        <v>15</v>
      </c>
      <c r="M26" s="64" t="s">
        <v>15</v>
      </c>
      <c r="N26" s="64" t="s">
        <v>15</v>
      </c>
    </row>
    <row r="27" spans="1:14" x14ac:dyDescent="0.25">
      <c r="A27" s="63" t="s">
        <v>5176</v>
      </c>
      <c r="B27" s="65" t="s">
        <v>15</v>
      </c>
      <c r="C27" s="64" t="s">
        <v>15</v>
      </c>
      <c r="D27" s="64" t="s">
        <v>15</v>
      </c>
      <c r="E27" s="64" t="s">
        <v>15</v>
      </c>
      <c r="F27" s="64" t="s">
        <v>15</v>
      </c>
      <c r="G27" s="64" t="s">
        <v>15</v>
      </c>
      <c r="H27" s="64" t="s">
        <v>1661</v>
      </c>
      <c r="I27" s="64" t="s">
        <v>2820</v>
      </c>
      <c r="J27" s="64" t="s">
        <v>2821</v>
      </c>
      <c r="K27" s="64" t="s">
        <v>15</v>
      </c>
      <c r="L27" s="64" t="s">
        <v>15</v>
      </c>
      <c r="M27" s="64" t="s">
        <v>15</v>
      </c>
      <c r="N27" s="64" t="s">
        <v>15</v>
      </c>
    </row>
    <row r="28" spans="1:14" x14ac:dyDescent="0.25">
      <c r="A28" s="63" t="s">
        <v>5177</v>
      </c>
      <c r="B28" s="65" t="s">
        <v>15</v>
      </c>
      <c r="C28" s="64" t="s">
        <v>15</v>
      </c>
      <c r="D28" s="64" t="s">
        <v>15</v>
      </c>
      <c r="E28" s="64" t="s">
        <v>15</v>
      </c>
      <c r="F28" s="64" t="s">
        <v>15</v>
      </c>
      <c r="G28" s="64" t="s">
        <v>15</v>
      </c>
      <c r="H28" s="64" t="s">
        <v>2759</v>
      </c>
      <c r="I28" s="64" t="s">
        <v>2822</v>
      </c>
      <c r="J28" s="64" t="s">
        <v>2823</v>
      </c>
      <c r="K28" s="64" t="s">
        <v>15</v>
      </c>
      <c r="L28" s="64" t="s">
        <v>15</v>
      </c>
      <c r="M28" s="64" t="s">
        <v>15</v>
      </c>
      <c r="N28" s="64" t="s">
        <v>15</v>
      </c>
    </row>
    <row r="29" spans="1:14" x14ac:dyDescent="0.25">
      <c r="A29" s="63" t="s">
        <v>5178</v>
      </c>
      <c r="B29" s="65" t="s">
        <v>15</v>
      </c>
      <c r="C29" s="64" t="s">
        <v>15</v>
      </c>
      <c r="D29" s="64" t="s">
        <v>15</v>
      </c>
      <c r="E29" s="64" t="s">
        <v>15</v>
      </c>
      <c r="F29" s="64" t="s">
        <v>15</v>
      </c>
      <c r="G29" s="64" t="s">
        <v>15</v>
      </c>
      <c r="H29" s="64" t="s">
        <v>1661</v>
      </c>
      <c r="I29" s="64" t="s">
        <v>2824</v>
      </c>
      <c r="J29" s="64" t="s">
        <v>2825</v>
      </c>
      <c r="K29" s="64" t="s">
        <v>15</v>
      </c>
      <c r="L29" s="64" t="s">
        <v>15</v>
      </c>
      <c r="M29" s="64" t="s">
        <v>15</v>
      </c>
      <c r="N29" s="64" t="s">
        <v>15</v>
      </c>
    </row>
    <row r="30" spans="1:14" x14ac:dyDescent="0.25">
      <c r="A30" s="63" t="s">
        <v>5179</v>
      </c>
      <c r="B30" s="65" t="s">
        <v>15</v>
      </c>
      <c r="C30" s="64" t="s">
        <v>15</v>
      </c>
      <c r="D30" s="64" t="s">
        <v>15</v>
      </c>
      <c r="E30" s="64" t="s">
        <v>15</v>
      </c>
      <c r="F30" s="64" t="s">
        <v>15</v>
      </c>
      <c r="G30" s="64" t="s">
        <v>15</v>
      </c>
      <c r="H30" s="64" t="s">
        <v>2759</v>
      </c>
      <c r="I30" s="64" t="s">
        <v>2826</v>
      </c>
      <c r="J30" s="64" t="s">
        <v>2827</v>
      </c>
      <c r="K30" s="64" t="s">
        <v>15</v>
      </c>
      <c r="L30" s="64" t="s">
        <v>15</v>
      </c>
      <c r="M30" s="64" t="s">
        <v>15</v>
      </c>
      <c r="N30" s="64" t="s">
        <v>15</v>
      </c>
    </row>
    <row r="31" spans="1:14" x14ac:dyDescent="0.25">
      <c r="A31" s="63" t="s">
        <v>5180</v>
      </c>
      <c r="B31" s="65" t="s">
        <v>15</v>
      </c>
      <c r="C31" s="64" t="s">
        <v>15</v>
      </c>
      <c r="D31" s="64" t="s">
        <v>15</v>
      </c>
      <c r="E31" s="64" t="s">
        <v>15</v>
      </c>
      <c r="F31" s="64" t="s">
        <v>15</v>
      </c>
      <c r="G31" s="64" t="s">
        <v>15</v>
      </c>
      <c r="H31" s="64" t="s">
        <v>2809</v>
      </c>
      <c r="I31" s="64" t="s">
        <v>2828</v>
      </c>
      <c r="J31" s="64" t="s">
        <v>2829</v>
      </c>
      <c r="K31" s="64" t="s">
        <v>15</v>
      </c>
      <c r="L31" s="64" t="s">
        <v>15</v>
      </c>
      <c r="M31" s="64" t="s">
        <v>15</v>
      </c>
      <c r="N31" s="64" t="s">
        <v>15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089B-DEDC-4EB4-BBBF-24D72D895B2D}">
  <dimension ref="A1:W379"/>
  <sheetViews>
    <sheetView topLeftCell="I1" workbookViewId="0">
      <selection activeCell="T1" sqref="T1:W1"/>
    </sheetView>
  </sheetViews>
  <sheetFormatPr defaultColWidth="68.5703125" defaultRowHeight="15" x14ac:dyDescent="0.25"/>
  <cols>
    <col min="1" max="1" width="9.85546875" style="3" bestFit="1" customWidth="1"/>
    <col min="2" max="2" width="46.42578125" style="3" bestFit="1" customWidth="1"/>
    <col min="3" max="3" width="10.42578125" style="3" bestFit="1" customWidth="1"/>
    <col min="4" max="4" width="24.5703125" style="3" bestFit="1" customWidth="1"/>
    <col min="5" max="5" width="16" style="3" bestFit="1" customWidth="1"/>
    <col min="6" max="6" width="13.85546875" style="3" bestFit="1" customWidth="1"/>
    <col min="7" max="7" width="27.85546875" style="3" bestFit="1" customWidth="1"/>
    <col min="8" max="8" width="25.28515625" style="3" bestFit="1" customWidth="1"/>
    <col min="9" max="9" width="15.85546875" style="3" bestFit="1" customWidth="1"/>
    <col min="10" max="10" width="10.42578125" style="3" bestFit="1" customWidth="1"/>
    <col min="11" max="11" width="9.7109375" style="3" bestFit="1" customWidth="1"/>
    <col min="12" max="12" width="63.7109375" style="3" bestFit="1" customWidth="1"/>
    <col min="13" max="13" width="8" style="3" bestFit="1" customWidth="1"/>
    <col min="14" max="14" width="7.85546875" style="3" bestFit="1" customWidth="1"/>
    <col min="15" max="15" width="17.42578125" style="3" bestFit="1" customWidth="1"/>
    <col min="16" max="16" width="8.7109375" style="3" bestFit="1" customWidth="1"/>
    <col min="17" max="17" width="18.42578125" style="3" bestFit="1" customWidth="1"/>
    <col min="18" max="18" width="8.42578125" style="3" bestFit="1" customWidth="1"/>
    <col min="19" max="19" width="6.5703125" style="3" bestFit="1" customWidth="1"/>
    <col min="20" max="16384" width="68.5703125" style="3"/>
  </cols>
  <sheetData>
    <row r="1" spans="1:23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2830</v>
      </c>
      <c r="K1" s="16" t="s">
        <v>2831</v>
      </c>
      <c r="L1" s="16" t="s">
        <v>14</v>
      </c>
      <c r="M1" s="16" t="s">
        <v>10</v>
      </c>
      <c r="N1" s="16" t="s">
        <v>11</v>
      </c>
      <c r="O1" s="16" t="s">
        <v>2832</v>
      </c>
      <c r="P1" s="16" t="s">
        <v>12</v>
      </c>
      <c r="Q1" s="16" t="s">
        <v>13</v>
      </c>
      <c r="R1" s="16" t="s">
        <v>2833</v>
      </c>
      <c r="S1" s="16" t="s">
        <v>9</v>
      </c>
      <c r="T1" s="27" t="s">
        <v>61</v>
      </c>
      <c r="U1" s="27" t="s">
        <v>1971</v>
      </c>
      <c r="V1" s="27" t="s">
        <v>1120</v>
      </c>
      <c r="W1" s="27" t="s">
        <v>521</v>
      </c>
    </row>
    <row r="2" spans="1:23" x14ac:dyDescent="0.25">
      <c r="A2" s="17">
        <v>1</v>
      </c>
      <c r="B2" s="18" t="s">
        <v>15</v>
      </c>
      <c r="C2" s="18" t="s">
        <v>15</v>
      </c>
      <c r="D2" s="18" t="s">
        <v>15</v>
      </c>
      <c r="E2" s="18" t="s">
        <v>15</v>
      </c>
      <c r="F2" s="18" t="s">
        <v>15</v>
      </c>
      <c r="G2" s="18" t="s">
        <v>2834</v>
      </c>
      <c r="H2" s="18" t="s">
        <v>2835</v>
      </c>
      <c r="I2" s="18" t="s">
        <v>74</v>
      </c>
      <c r="J2" s="18" t="s">
        <v>2836</v>
      </c>
      <c r="K2" s="18" t="s">
        <v>2837</v>
      </c>
      <c r="L2" s="18" t="s">
        <v>2838</v>
      </c>
      <c r="M2" s="18" t="s">
        <v>15</v>
      </c>
      <c r="N2" s="18" t="s">
        <v>15</v>
      </c>
      <c r="O2" s="18" t="s">
        <v>15</v>
      </c>
      <c r="P2" s="18" t="s">
        <v>15</v>
      </c>
      <c r="Q2" s="18" t="s">
        <v>15</v>
      </c>
      <c r="R2" s="18" t="s">
        <v>2839</v>
      </c>
      <c r="S2" s="18" t="s">
        <v>15</v>
      </c>
    </row>
    <row r="3" spans="1:23" x14ac:dyDescent="0.25">
      <c r="A3" s="17">
        <v>2</v>
      </c>
      <c r="B3" s="18" t="s">
        <v>15</v>
      </c>
      <c r="C3" s="18" t="s">
        <v>2840</v>
      </c>
      <c r="D3" s="18" t="s">
        <v>44</v>
      </c>
      <c r="E3" s="18" t="s">
        <v>15</v>
      </c>
      <c r="F3" s="18" t="s">
        <v>15</v>
      </c>
      <c r="G3" s="18" t="s">
        <v>2841</v>
      </c>
      <c r="H3" s="18" t="s">
        <v>2842</v>
      </c>
      <c r="I3" s="18" t="s">
        <v>15</v>
      </c>
      <c r="J3" s="18" t="s">
        <v>2843</v>
      </c>
      <c r="K3" s="18" t="s">
        <v>15</v>
      </c>
      <c r="L3" s="18" t="s">
        <v>2844</v>
      </c>
      <c r="M3" s="18" t="s">
        <v>15</v>
      </c>
      <c r="N3" s="18" t="s">
        <v>15</v>
      </c>
      <c r="O3" s="18" t="s">
        <v>2845</v>
      </c>
      <c r="P3" s="18" t="s">
        <v>15</v>
      </c>
      <c r="Q3" s="18" t="s">
        <v>15</v>
      </c>
      <c r="R3" s="18" t="s">
        <v>15</v>
      </c>
      <c r="S3" s="18" t="s">
        <v>15</v>
      </c>
    </row>
    <row r="4" spans="1:23" x14ac:dyDescent="0.25">
      <c r="A4" s="17">
        <v>3</v>
      </c>
      <c r="B4" s="18" t="s">
        <v>15</v>
      </c>
      <c r="C4" s="18" t="s">
        <v>2840</v>
      </c>
      <c r="D4" s="18" t="s">
        <v>44</v>
      </c>
      <c r="E4" s="18" t="s">
        <v>15</v>
      </c>
      <c r="F4" s="18" t="s">
        <v>15</v>
      </c>
      <c r="G4" s="18" t="s">
        <v>2846</v>
      </c>
      <c r="H4" s="18" t="s">
        <v>2847</v>
      </c>
      <c r="I4" s="18" t="s">
        <v>15</v>
      </c>
      <c r="J4" s="18" t="s">
        <v>2843</v>
      </c>
      <c r="K4" s="18" t="s">
        <v>15</v>
      </c>
      <c r="L4" s="18" t="s">
        <v>2848</v>
      </c>
      <c r="M4" s="18" t="s">
        <v>15</v>
      </c>
      <c r="N4" s="18" t="s">
        <v>15</v>
      </c>
      <c r="O4" s="18" t="s">
        <v>2849</v>
      </c>
      <c r="P4" s="18" t="s">
        <v>15</v>
      </c>
      <c r="Q4" s="18" t="s">
        <v>15</v>
      </c>
      <c r="R4" s="18" t="s">
        <v>15</v>
      </c>
      <c r="S4" s="18" t="s">
        <v>15</v>
      </c>
    </row>
    <row r="5" spans="1:23" x14ac:dyDescent="0.25">
      <c r="A5" s="17">
        <v>4</v>
      </c>
      <c r="B5" s="18" t="s">
        <v>15</v>
      </c>
      <c r="C5" s="18" t="s">
        <v>2840</v>
      </c>
      <c r="D5" s="18" t="s">
        <v>44</v>
      </c>
      <c r="E5" s="18" t="s">
        <v>15</v>
      </c>
      <c r="F5" s="18" t="s">
        <v>15</v>
      </c>
      <c r="G5" s="18" t="s">
        <v>2846</v>
      </c>
      <c r="H5" s="18" t="s">
        <v>2850</v>
      </c>
      <c r="I5" s="18" t="s">
        <v>15</v>
      </c>
      <c r="J5" s="18" t="s">
        <v>2843</v>
      </c>
      <c r="K5" s="18" t="s">
        <v>15</v>
      </c>
      <c r="L5" s="18" t="s">
        <v>2851</v>
      </c>
      <c r="M5" s="18" t="s">
        <v>15</v>
      </c>
      <c r="N5" s="18" t="s">
        <v>15</v>
      </c>
      <c r="O5" s="18" t="s">
        <v>2852</v>
      </c>
      <c r="P5" s="18" t="s">
        <v>15</v>
      </c>
      <c r="Q5" s="18" t="s">
        <v>15</v>
      </c>
      <c r="R5" s="18" t="s">
        <v>15</v>
      </c>
      <c r="S5" s="18" t="s">
        <v>15</v>
      </c>
    </row>
    <row r="6" spans="1:23" x14ac:dyDescent="0.25">
      <c r="A6" s="17">
        <v>5</v>
      </c>
      <c r="B6" s="18" t="s">
        <v>15</v>
      </c>
      <c r="C6" s="18" t="s">
        <v>2840</v>
      </c>
      <c r="D6" s="18" t="s">
        <v>44</v>
      </c>
      <c r="E6" s="18" t="s">
        <v>15</v>
      </c>
      <c r="F6" s="18" t="s">
        <v>15</v>
      </c>
      <c r="G6" s="18" t="s">
        <v>2841</v>
      </c>
      <c r="H6" s="18" t="s">
        <v>2853</v>
      </c>
      <c r="I6" s="18" t="s">
        <v>15</v>
      </c>
      <c r="J6" s="18" t="s">
        <v>2854</v>
      </c>
      <c r="K6" s="18" t="s">
        <v>15</v>
      </c>
      <c r="L6" s="18" t="s">
        <v>2855</v>
      </c>
      <c r="M6" s="18" t="s">
        <v>15</v>
      </c>
      <c r="N6" s="18" t="s">
        <v>15</v>
      </c>
      <c r="O6" s="18" t="s">
        <v>2845</v>
      </c>
      <c r="P6" s="18" t="s">
        <v>15</v>
      </c>
      <c r="Q6" s="18" t="s">
        <v>15</v>
      </c>
      <c r="R6" s="18" t="s">
        <v>15</v>
      </c>
      <c r="S6" s="18" t="s">
        <v>15</v>
      </c>
    </row>
    <row r="7" spans="1:23" x14ac:dyDescent="0.25">
      <c r="A7" s="17">
        <v>6</v>
      </c>
      <c r="B7" s="18" t="s">
        <v>15</v>
      </c>
      <c r="C7" s="18" t="s">
        <v>2840</v>
      </c>
      <c r="D7" s="18" t="s">
        <v>44</v>
      </c>
      <c r="E7" s="18" t="s">
        <v>15</v>
      </c>
      <c r="F7" s="18" t="s">
        <v>15</v>
      </c>
      <c r="G7" s="18" t="s">
        <v>2846</v>
      </c>
      <c r="H7" s="18" t="s">
        <v>2856</v>
      </c>
      <c r="I7" s="18" t="s">
        <v>15</v>
      </c>
      <c r="J7" s="18" t="s">
        <v>2854</v>
      </c>
      <c r="K7" s="18" t="s">
        <v>15</v>
      </c>
      <c r="L7" s="18" t="s">
        <v>2857</v>
      </c>
      <c r="M7" s="18" t="s">
        <v>15</v>
      </c>
      <c r="N7" s="18" t="s">
        <v>15</v>
      </c>
      <c r="O7" s="18" t="s">
        <v>2849</v>
      </c>
      <c r="P7" s="18" t="s">
        <v>15</v>
      </c>
      <c r="Q7" s="18" t="s">
        <v>15</v>
      </c>
      <c r="R7" s="18" t="s">
        <v>15</v>
      </c>
      <c r="S7" s="18" t="s">
        <v>15</v>
      </c>
    </row>
    <row r="8" spans="1:23" x14ac:dyDescent="0.25">
      <c r="A8" s="17">
        <v>7</v>
      </c>
      <c r="B8" s="18" t="s">
        <v>15</v>
      </c>
      <c r="C8" s="18" t="s">
        <v>2840</v>
      </c>
      <c r="D8" s="18" t="s">
        <v>44</v>
      </c>
      <c r="E8" s="18" t="s">
        <v>15</v>
      </c>
      <c r="F8" s="18" t="s">
        <v>15</v>
      </c>
      <c r="G8" s="18" t="s">
        <v>2846</v>
      </c>
      <c r="H8" s="18" t="s">
        <v>2858</v>
      </c>
      <c r="I8" s="18" t="s">
        <v>15</v>
      </c>
      <c r="J8" s="18" t="s">
        <v>2854</v>
      </c>
      <c r="K8" s="18" t="s">
        <v>15</v>
      </c>
      <c r="L8" s="18" t="s">
        <v>2859</v>
      </c>
      <c r="M8" s="18" t="s">
        <v>15</v>
      </c>
      <c r="N8" s="18" t="s">
        <v>15</v>
      </c>
      <c r="O8" s="18" t="s">
        <v>2852</v>
      </c>
      <c r="P8" s="18" t="s">
        <v>15</v>
      </c>
      <c r="Q8" s="18" t="s">
        <v>15</v>
      </c>
      <c r="R8" s="18" t="s">
        <v>15</v>
      </c>
      <c r="S8" s="18" t="s">
        <v>15</v>
      </c>
    </row>
    <row r="9" spans="1:23" x14ac:dyDescent="0.25">
      <c r="A9" s="17">
        <v>8</v>
      </c>
      <c r="B9" s="18" t="s">
        <v>15</v>
      </c>
      <c r="C9" s="18" t="s">
        <v>2840</v>
      </c>
      <c r="D9" s="18" t="s">
        <v>44</v>
      </c>
      <c r="E9" s="18" t="s">
        <v>15</v>
      </c>
      <c r="F9" s="18" t="s">
        <v>15</v>
      </c>
      <c r="G9" s="18" t="s">
        <v>2841</v>
      </c>
      <c r="H9" s="18" t="s">
        <v>2860</v>
      </c>
      <c r="I9" s="18" t="s">
        <v>15</v>
      </c>
      <c r="J9" s="18" t="s">
        <v>2861</v>
      </c>
      <c r="K9" s="18" t="s">
        <v>15</v>
      </c>
      <c r="L9" s="18" t="s">
        <v>2862</v>
      </c>
      <c r="M9" s="18" t="s">
        <v>15</v>
      </c>
      <c r="N9" s="18" t="s">
        <v>15</v>
      </c>
      <c r="O9" s="18" t="s">
        <v>2845</v>
      </c>
      <c r="P9" s="18" t="s">
        <v>15</v>
      </c>
      <c r="Q9" s="18" t="s">
        <v>15</v>
      </c>
      <c r="R9" s="18" t="s">
        <v>15</v>
      </c>
      <c r="S9" s="18" t="s">
        <v>15</v>
      </c>
    </row>
    <row r="10" spans="1:23" x14ac:dyDescent="0.25">
      <c r="A10" s="17">
        <v>9</v>
      </c>
      <c r="B10" s="18" t="s">
        <v>15</v>
      </c>
      <c r="C10" s="18" t="s">
        <v>2840</v>
      </c>
      <c r="D10" s="18" t="s">
        <v>44</v>
      </c>
      <c r="E10" s="18" t="s">
        <v>15</v>
      </c>
      <c r="F10" s="18" t="s">
        <v>15</v>
      </c>
      <c r="G10" s="18" t="s">
        <v>2846</v>
      </c>
      <c r="H10" s="18" t="s">
        <v>2863</v>
      </c>
      <c r="I10" s="18" t="s">
        <v>15</v>
      </c>
      <c r="J10" s="18" t="s">
        <v>2861</v>
      </c>
      <c r="K10" s="18" t="s">
        <v>15</v>
      </c>
      <c r="L10" s="18" t="s">
        <v>2864</v>
      </c>
      <c r="M10" s="18" t="s">
        <v>15</v>
      </c>
      <c r="N10" s="18" t="s">
        <v>15</v>
      </c>
      <c r="O10" s="18" t="s">
        <v>2849</v>
      </c>
      <c r="P10" s="18" t="s">
        <v>15</v>
      </c>
      <c r="Q10" s="18" t="s">
        <v>15</v>
      </c>
      <c r="R10" s="18" t="s">
        <v>15</v>
      </c>
      <c r="S10" s="18" t="s">
        <v>15</v>
      </c>
    </row>
    <row r="11" spans="1:23" x14ac:dyDescent="0.25">
      <c r="A11" s="17">
        <v>10</v>
      </c>
      <c r="B11" s="18" t="s">
        <v>15</v>
      </c>
      <c r="C11" s="18" t="s">
        <v>2840</v>
      </c>
      <c r="D11" s="18" t="s">
        <v>44</v>
      </c>
      <c r="E11" s="18" t="s">
        <v>15</v>
      </c>
      <c r="F11" s="18" t="s">
        <v>15</v>
      </c>
      <c r="G11" s="18" t="s">
        <v>2846</v>
      </c>
      <c r="H11" s="18" t="s">
        <v>2865</v>
      </c>
      <c r="I11" s="18" t="s">
        <v>15</v>
      </c>
      <c r="J11" s="18" t="s">
        <v>2861</v>
      </c>
      <c r="K11" s="18" t="s">
        <v>15</v>
      </c>
      <c r="L11" s="18" t="s">
        <v>2866</v>
      </c>
      <c r="M11" s="18" t="s">
        <v>15</v>
      </c>
      <c r="N11" s="18" t="s">
        <v>15</v>
      </c>
      <c r="O11" s="18" t="s">
        <v>2852</v>
      </c>
      <c r="P11" s="18" t="s">
        <v>15</v>
      </c>
      <c r="Q11" s="18" t="s">
        <v>15</v>
      </c>
      <c r="R11" s="18" t="s">
        <v>15</v>
      </c>
      <c r="S11" s="18" t="s">
        <v>15</v>
      </c>
    </row>
    <row r="12" spans="1:23" x14ac:dyDescent="0.25">
      <c r="A12" s="17">
        <v>11</v>
      </c>
      <c r="B12" s="18" t="s">
        <v>15</v>
      </c>
      <c r="C12" s="18" t="s">
        <v>2840</v>
      </c>
      <c r="D12" s="18" t="s">
        <v>44</v>
      </c>
      <c r="E12" s="18" t="s">
        <v>15</v>
      </c>
      <c r="F12" s="18" t="s">
        <v>15</v>
      </c>
      <c r="G12" s="18" t="s">
        <v>2841</v>
      </c>
      <c r="H12" s="18" t="s">
        <v>2867</v>
      </c>
      <c r="I12" s="18" t="s">
        <v>15</v>
      </c>
      <c r="J12" s="18" t="s">
        <v>2868</v>
      </c>
      <c r="K12" s="18" t="s">
        <v>15</v>
      </c>
      <c r="L12" s="18" t="s">
        <v>2869</v>
      </c>
      <c r="M12" s="18" t="s">
        <v>15</v>
      </c>
      <c r="N12" s="18" t="s">
        <v>15</v>
      </c>
      <c r="O12" s="18" t="s">
        <v>2845</v>
      </c>
      <c r="P12" s="18" t="s">
        <v>15</v>
      </c>
      <c r="Q12" s="18" t="s">
        <v>15</v>
      </c>
      <c r="R12" s="18" t="s">
        <v>15</v>
      </c>
      <c r="S12" s="18" t="s">
        <v>15</v>
      </c>
    </row>
    <row r="13" spans="1:23" x14ac:dyDescent="0.25">
      <c r="A13" s="17">
        <v>12</v>
      </c>
      <c r="B13" s="18" t="s">
        <v>15</v>
      </c>
      <c r="C13" s="18" t="s">
        <v>2840</v>
      </c>
      <c r="D13" s="18" t="s">
        <v>44</v>
      </c>
      <c r="E13" s="18" t="s">
        <v>15</v>
      </c>
      <c r="F13" s="18" t="s">
        <v>15</v>
      </c>
      <c r="G13" s="18" t="s">
        <v>2846</v>
      </c>
      <c r="H13" s="18" t="s">
        <v>2870</v>
      </c>
      <c r="I13" s="18" t="s">
        <v>15</v>
      </c>
      <c r="J13" s="18" t="s">
        <v>2868</v>
      </c>
      <c r="K13" s="18" t="s">
        <v>15</v>
      </c>
      <c r="L13" s="18" t="s">
        <v>2871</v>
      </c>
      <c r="M13" s="18" t="s">
        <v>15</v>
      </c>
      <c r="N13" s="18" t="s">
        <v>15</v>
      </c>
      <c r="O13" s="18" t="s">
        <v>2849</v>
      </c>
      <c r="P13" s="18" t="s">
        <v>15</v>
      </c>
      <c r="Q13" s="18" t="s">
        <v>15</v>
      </c>
      <c r="R13" s="18" t="s">
        <v>15</v>
      </c>
      <c r="S13" s="18" t="s">
        <v>15</v>
      </c>
    </row>
    <row r="14" spans="1:23" x14ac:dyDescent="0.25">
      <c r="A14" s="17">
        <v>13</v>
      </c>
      <c r="B14" s="18" t="s">
        <v>15</v>
      </c>
      <c r="C14" s="18" t="s">
        <v>2840</v>
      </c>
      <c r="D14" s="18" t="s">
        <v>44</v>
      </c>
      <c r="E14" s="18" t="s">
        <v>15</v>
      </c>
      <c r="F14" s="18" t="s">
        <v>15</v>
      </c>
      <c r="G14" s="18" t="s">
        <v>2846</v>
      </c>
      <c r="H14" s="18" t="s">
        <v>2872</v>
      </c>
      <c r="I14" s="18" t="s">
        <v>15</v>
      </c>
      <c r="J14" s="18" t="s">
        <v>2868</v>
      </c>
      <c r="K14" s="18" t="s">
        <v>15</v>
      </c>
      <c r="L14" s="18" t="s">
        <v>2873</v>
      </c>
      <c r="M14" s="18" t="s">
        <v>15</v>
      </c>
      <c r="N14" s="18" t="s">
        <v>15</v>
      </c>
      <c r="O14" s="18" t="s">
        <v>2852</v>
      </c>
      <c r="P14" s="18" t="s">
        <v>15</v>
      </c>
      <c r="Q14" s="18" t="s">
        <v>15</v>
      </c>
      <c r="R14" s="18" t="s">
        <v>15</v>
      </c>
      <c r="S14" s="18" t="s">
        <v>15</v>
      </c>
    </row>
    <row r="15" spans="1:23" x14ac:dyDescent="0.25">
      <c r="A15" s="17">
        <v>14</v>
      </c>
      <c r="B15" s="18" t="s">
        <v>15</v>
      </c>
      <c r="C15" s="18" t="s">
        <v>2840</v>
      </c>
      <c r="D15" s="18" t="s">
        <v>44</v>
      </c>
      <c r="E15" s="18" t="s">
        <v>15</v>
      </c>
      <c r="F15" s="18" t="s">
        <v>15</v>
      </c>
      <c r="G15" s="18" t="s">
        <v>2841</v>
      </c>
      <c r="H15" s="18" t="s">
        <v>2874</v>
      </c>
      <c r="I15" s="18" t="s">
        <v>15</v>
      </c>
      <c r="J15" s="18" t="s">
        <v>2875</v>
      </c>
      <c r="K15" s="18" t="s">
        <v>15</v>
      </c>
      <c r="L15" s="18" t="s">
        <v>2876</v>
      </c>
      <c r="M15" s="18" t="s">
        <v>15</v>
      </c>
      <c r="N15" s="18" t="s">
        <v>15</v>
      </c>
      <c r="O15" s="18" t="s">
        <v>2845</v>
      </c>
      <c r="P15" s="18" t="s">
        <v>15</v>
      </c>
      <c r="Q15" s="18" t="s">
        <v>15</v>
      </c>
      <c r="R15" s="18" t="s">
        <v>15</v>
      </c>
      <c r="S15" s="18" t="s">
        <v>15</v>
      </c>
    </row>
    <row r="16" spans="1:23" x14ac:dyDescent="0.25">
      <c r="A16" s="17">
        <v>15</v>
      </c>
      <c r="B16" s="18" t="s">
        <v>15</v>
      </c>
      <c r="C16" s="18" t="s">
        <v>2840</v>
      </c>
      <c r="D16" s="18" t="s">
        <v>44</v>
      </c>
      <c r="E16" s="18" t="s">
        <v>15</v>
      </c>
      <c r="F16" s="18" t="s">
        <v>15</v>
      </c>
      <c r="G16" s="18" t="s">
        <v>2846</v>
      </c>
      <c r="H16" s="18" t="s">
        <v>2877</v>
      </c>
      <c r="I16" s="18" t="s">
        <v>15</v>
      </c>
      <c r="J16" s="18" t="s">
        <v>2875</v>
      </c>
      <c r="K16" s="18" t="s">
        <v>15</v>
      </c>
      <c r="L16" s="18" t="s">
        <v>2878</v>
      </c>
      <c r="M16" s="18" t="s">
        <v>15</v>
      </c>
      <c r="N16" s="18" t="s">
        <v>15</v>
      </c>
      <c r="O16" s="18" t="s">
        <v>2849</v>
      </c>
      <c r="P16" s="18" t="s">
        <v>15</v>
      </c>
      <c r="Q16" s="18" t="s">
        <v>15</v>
      </c>
      <c r="R16" s="18" t="s">
        <v>15</v>
      </c>
      <c r="S16" s="18" t="s">
        <v>15</v>
      </c>
    </row>
    <row r="17" spans="1:19" x14ac:dyDescent="0.25">
      <c r="A17" s="17">
        <v>16</v>
      </c>
      <c r="B17" s="18" t="s">
        <v>15</v>
      </c>
      <c r="C17" s="18" t="s">
        <v>2840</v>
      </c>
      <c r="D17" s="18" t="s">
        <v>44</v>
      </c>
      <c r="E17" s="18" t="s">
        <v>15</v>
      </c>
      <c r="F17" s="18" t="s">
        <v>15</v>
      </c>
      <c r="G17" s="18" t="s">
        <v>2846</v>
      </c>
      <c r="H17" s="18" t="s">
        <v>2879</v>
      </c>
      <c r="I17" s="18" t="s">
        <v>15</v>
      </c>
      <c r="J17" s="18" t="s">
        <v>2875</v>
      </c>
      <c r="K17" s="18" t="s">
        <v>15</v>
      </c>
      <c r="L17" s="18" t="s">
        <v>2880</v>
      </c>
      <c r="M17" s="18" t="s">
        <v>15</v>
      </c>
      <c r="N17" s="18" t="s">
        <v>15</v>
      </c>
      <c r="O17" s="18" t="s">
        <v>2852</v>
      </c>
      <c r="P17" s="18" t="s">
        <v>15</v>
      </c>
      <c r="Q17" s="18" t="s">
        <v>15</v>
      </c>
      <c r="R17" s="18" t="s">
        <v>15</v>
      </c>
      <c r="S17" s="18" t="s">
        <v>15</v>
      </c>
    </row>
    <row r="18" spans="1:19" x14ac:dyDescent="0.25">
      <c r="A18" s="17">
        <v>17</v>
      </c>
      <c r="B18" s="18" t="s">
        <v>15</v>
      </c>
      <c r="C18" s="18" t="s">
        <v>2840</v>
      </c>
      <c r="D18" s="18" t="s">
        <v>44</v>
      </c>
      <c r="E18" s="18" t="s">
        <v>15</v>
      </c>
      <c r="F18" s="18" t="s">
        <v>15</v>
      </c>
      <c r="G18" s="18" t="s">
        <v>2841</v>
      </c>
      <c r="H18" s="18" t="s">
        <v>2881</v>
      </c>
      <c r="I18" s="18" t="s">
        <v>15</v>
      </c>
      <c r="J18" s="18" t="s">
        <v>2882</v>
      </c>
      <c r="K18" s="18" t="s">
        <v>15</v>
      </c>
      <c r="L18" s="18" t="s">
        <v>2883</v>
      </c>
      <c r="M18" s="18" t="s">
        <v>15</v>
      </c>
      <c r="N18" s="18" t="s">
        <v>15</v>
      </c>
      <c r="O18" s="18" t="s">
        <v>2845</v>
      </c>
      <c r="P18" s="18" t="s">
        <v>15</v>
      </c>
      <c r="Q18" s="18" t="s">
        <v>15</v>
      </c>
      <c r="R18" s="18" t="s">
        <v>15</v>
      </c>
      <c r="S18" s="18" t="s">
        <v>15</v>
      </c>
    </row>
    <row r="19" spans="1:19" x14ac:dyDescent="0.25">
      <c r="A19" s="17">
        <v>18</v>
      </c>
      <c r="B19" s="18" t="s">
        <v>15</v>
      </c>
      <c r="C19" s="18" t="s">
        <v>2840</v>
      </c>
      <c r="D19" s="18" t="s">
        <v>44</v>
      </c>
      <c r="E19" s="18" t="s">
        <v>15</v>
      </c>
      <c r="F19" s="18" t="s">
        <v>15</v>
      </c>
      <c r="G19" s="18" t="s">
        <v>2846</v>
      </c>
      <c r="H19" s="18" t="s">
        <v>2884</v>
      </c>
      <c r="I19" s="18" t="s">
        <v>15</v>
      </c>
      <c r="J19" s="18" t="s">
        <v>2882</v>
      </c>
      <c r="K19" s="18" t="s">
        <v>15</v>
      </c>
      <c r="L19" s="18" t="s">
        <v>2885</v>
      </c>
      <c r="M19" s="18" t="s">
        <v>15</v>
      </c>
      <c r="N19" s="18" t="s">
        <v>15</v>
      </c>
      <c r="O19" s="18" t="s">
        <v>2849</v>
      </c>
      <c r="P19" s="18" t="s">
        <v>15</v>
      </c>
      <c r="Q19" s="18" t="s">
        <v>15</v>
      </c>
      <c r="R19" s="18" t="s">
        <v>15</v>
      </c>
      <c r="S19" s="18" t="s">
        <v>15</v>
      </c>
    </row>
    <row r="20" spans="1:19" x14ac:dyDescent="0.25">
      <c r="A20" s="17">
        <v>19</v>
      </c>
      <c r="B20" s="18" t="s">
        <v>15</v>
      </c>
      <c r="C20" s="18" t="s">
        <v>2840</v>
      </c>
      <c r="D20" s="18" t="s">
        <v>44</v>
      </c>
      <c r="E20" s="18" t="s">
        <v>15</v>
      </c>
      <c r="F20" s="18" t="s">
        <v>15</v>
      </c>
      <c r="G20" s="18" t="s">
        <v>2846</v>
      </c>
      <c r="H20" s="18" t="s">
        <v>2886</v>
      </c>
      <c r="I20" s="18" t="s">
        <v>15</v>
      </c>
      <c r="J20" s="18" t="s">
        <v>2882</v>
      </c>
      <c r="K20" s="18" t="s">
        <v>15</v>
      </c>
      <c r="L20" s="18" t="s">
        <v>2887</v>
      </c>
      <c r="M20" s="18" t="s">
        <v>15</v>
      </c>
      <c r="N20" s="18" t="s">
        <v>15</v>
      </c>
      <c r="O20" s="18" t="s">
        <v>2852</v>
      </c>
      <c r="P20" s="18" t="s">
        <v>15</v>
      </c>
      <c r="Q20" s="18" t="s">
        <v>15</v>
      </c>
      <c r="R20" s="18" t="s">
        <v>15</v>
      </c>
      <c r="S20" s="18" t="s">
        <v>15</v>
      </c>
    </row>
    <row r="21" spans="1:19" x14ac:dyDescent="0.25">
      <c r="A21" s="17">
        <v>20</v>
      </c>
      <c r="B21" s="18" t="s">
        <v>15</v>
      </c>
      <c r="C21" s="18" t="s">
        <v>2840</v>
      </c>
      <c r="D21" s="18" t="s">
        <v>44</v>
      </c>
      <c r="E21" s="18" t="s">
        <v>15</v>
      </c>
      <c r="F21" s="18" t="s">
        <v>15</v>
      </c>
      <c r="G21" s="18" t="s">
        <v>2841</v>
      </c>
      <c r="H21" s="18" t="s">
        <v>2888</v>
      </c>
      <c r="I21" s="18" t="s">
        <v>15</v>
      </c>
      <c r="J21" s="18" t="s">
        <v>2889</v>
      </c>
      <c r="K21" s="18" t="s">
        <v>15</v>
      </c>
      <c r="L21" s="18" t="s">
        <v>2890</v>
      </c>
      <c r="M21" s="18" t="s">
        <v>15</v>
      </c>
      <c r="N21" s="18" t="s">
        <v>15</v>
      </c>
      <c r="O21" s="18" t="s">
        <v>2845</v>
      </c>
      <c r="P21" s="18" t="s">
        <v>15</v>
      </c>
      <c r="Q21" s="18" t="s">
        <v>15</v>
      </c>
      <c r="R21" s="18" t="s">
        <v>15</v>
      </c>
      <c r="S21" s="18" t="s">
        <v>15</v>
      </c>
    </row>
    <row r="22" spans="1:19" x14ac:dyDescent="0.25">
      <c r="A22" s="17">
        <v>21</v>
      </c>
      <c r="B22" s="18" t="s">
        <v>15</v>
      </c>
      <c r="C22" s="18" t="s">
        <v>2840</v>
      </c>
      <c r="D22" s="18" t="s">
        <v>44</v>
      </c>
      <c r="E22" s="18" t="s">
        <v>15</v>
      </c>
      <c r="F22" s="18" t="s">
        <v>15</v>
      </c>
      <c r="G22" s="18" t="s">
        <v>2846</v>
      </c>
      <c r="H22" s="18" t="s">
        <v>2891</v>
      </c>
      <c r="I22" s="18" t="s">
        <v>15</v>
      </c>
      <c r="J22" s="18" t="s">
        <v>2889</v>
      </c>
      <c r="K22" s="18" t="s">
        <v>15</v>
      </c>
      <c r="L22" s="18" t="s">
        <v>2892</v>
      </c>
      <c r="M22" s="18" t="s">
        <v>15</v>
      </c>
      <c r="N22" s="18" t="s">
        <v>15</v>
      </c>
      <c r="O22" s="18" t="s">
        <v>2849</v>
      </c>
      <c r="P22" s="18" t="s">
        <v>15</v>
      </c>
      <c r="Q22" s="18" t="s">
        <v>15</v>
      </c>
      <c r="R22" s="18" t="s">
        <v>15</v>
      </c>
      <c r="S22" s="18" t="s">
        <v>15</v>
      </c>
    </row>
    <row r="23" spans="1:19" x14ac:dyDescent="0.25">
      <c r="A23" s="17">
        <v>22</v>
      </c>
      <c r="B23" s="18" t="s">
        <v>15</v>
      </c>
      <c r="C23" s="18" t="s">
        <v>2840</v>
      </c>
      <c r="D23" s="18" t="s">
        <v>44</v>
      </c>
      <c r="E23" s="18" t="s">
        <v>15</v>
      </c>
      <c r="F23" s="18" t="s">
        <v>15</v>
      </c>
      <c r="G23" s="18" t="s">
        <v>2846</v>
      </c>
      <c r="H23" s="18" t="s">
        <v>2893</v>
      </c>
      <c r="I23" s="18" t="s">
        <v>15</v>
      </c>
      <c r="J23" s="18" t="s">
        <v>2889</v>
      </c>
      <c r="K23" s="18" t="s">
        <v>15</v>
      </c>
      <c r="L23" s="18" t="s">
        <v>2894</v>
      </c>
      <c r="M23" s="18" t="s">
        <v>15</v>
      </c>
      <c r="N23" s="18" t="s">
        <v>15</v>
      </c>
      <c r="O23" s="18" t="s">
        <v>2852</v>
      </c>
      <c r="P23" s="18" t="s">
        <v>15</v>
      </c>
      <c r="Q23" s="18" t="s">
        <v>15</v>
      </c>
      <c r="R23" s="18" t="s">
        <v>15</v>
      </c>
      <c r="S23" s="18" t="s">
        <v>15</v>
      </c>
    </row>
    <row r="24" spans="1:19" x14ac:dyDescent="0.25">
      <c r="A24" s="17">
        <v>23</v>
      </c>
      <c r="B24" s="18" t="s">
        <v>15</v>
      </c>
      <c r="C24" s="18" t="s">
        <v>2840</v>
      </c>
      <c r="D24" s="18" t="s">
        <v>44</v>
      </c>
      <c r="E24" s="18" t="s">
        <v>15</v>
      </c>
      <c r="F24" s="18" t="s">
        <v>15</v>
      </c>
      <c r="G24" s="18" t="s">
        <v>2841</v>
      </c>
      <c r="H24" s="18" t="s">
        <v>2895</v>
      </c>
      <c r="I24" s="18" t="s">
        <v>15</v>
      </c>
      <c r="J24" s="18" t="s">
        <v>2896</v>
      </c>
      <c r="K24" s="18" t="s">
        <v>15</v>
      </c>
      <c r="L24" s="18" t="s">
        <v>2897</v>
      </c>
      <c r="M24" s="18" t="s">
        <v>15</v>
      </c>
      <c r="N24" s="18" t="s">
        <v>15</v>
      </c>
      <c r="O24" s="18" t="s">
        <v>2845</v>
      </c>
      <c r="P24" s="18" t="s">
        <v>15</v>
      </c>
      <c r="Q24" s="18" t="s">
        <v>15</v>
      </c>
      <c r="R24" s="18" t="s">
        <v>15</v>
      </c>
      <c r="S24" s="18" t="s">
        <v>15</v>
      </c>
    </row>
    <row r="25" spans="1:19" x14ac:dyDescent="0.25">
      <c r="A25" s="17">
        <v>24</v>
      </c>
      <c r="B25" s="18" t="s">
        <v>15</v>
      </c>
      <c r="C25" s="18" t="s">
        <v>2840</v>
      </c>
      <c r="D25" s="18" t="s">
        <v>44</v>
      </c>
      <c r="E25" s="18" t="s">
        <v>15</v>
      </c>
      <c r="F25" s="18" t="s">
        <v>15</v>
      </c>
      <c r="G25" s="18" t="s">
        <v>2846</v>
      </c>
      <c r="H25" s="18" t="s">
        <v>2898</v>
      </c>
      <c r="I25" s="18" t="s">
        <v>15</v>
      </c>
      <c r="J25" s="18" t="s">
        <v>2896</v>
      </c>
      <c r="K25" s="18" t="s">
        <v>15</v>
      </c>
      <c r="L25" s="18" t="s">
        <v>2899</v>
      </c>
      <c r="M25" s="18" t="s">
        <v>15</v>
      </c>
      <c r="N25" s="18" t="s">
        <v>15</v>
      </c>
      <c r="O25" s="18" t="s">
        <v>2849</v>
      </c>
      <c r="P25" s="18" t="s">
        <v>15</v>
      </c>
      <c r="Q25" s="18" t="s">
        <v>15</v>
      </c>
      <c r="R25" s="18" t="s">
        <v>15</v>
      </c>
      <c r="S25" s="18" t="s">
        <v>15</v>
      </c>
    </row>
    <row r="26" spans="1:19" x14ac:dyDescent="0.25">
      <c r="A26" s="17">
        <v>25</v>
      </c>
      <c r="B26" s="18" t="s">
        <v>15</v>
      </c>
      <c r="C26" s="18" t="s">
        <v>2840</v>
      </c>
      <c r="D26" s="18" t="s">
        <v>44</v>
      </c>
      <c r="E26" s="18" t="s">
        <v>15</v>
      </c>
      <c r="F26" s="18" t="s">
        <v>15</v>
      </c>
      <c r="G26" s="18" t="s">
        <v>2846</v>
      </c>
      <c r="H26" s="18" t="s">
        <v>2900</v>
      </c>
      <c r="I26" s="18" t="s">
        <v>15</v>
      </c>
      <c r="J26" s="18" t="s">
        <v>2896</v>
      </c>
      <c r="K26" s="18" t="s">
        <v>15</v>
      </c>
      <c r="L26" s="18" t="s">
        <v>2901</v>
      </c>
      <c r="M26" s="18" t="s">
        <v>15</v>
      </c>
      <c r="N26" s="18" t="s">
        <v>15</v>
      </c>
      <c r="O26" s="18" t="s">
        <v>2852</v>
      </c>
      <c r="P26" s="18" t="s">
        <v>15</v>
      </c>
      <c r="Q26" s="18" t="s">
        <v>15</v>
      </c>
      <c r="R26" s="18" t="s">
        <v>15</v>
      </c>
      <c r="S26" s="18" t="s">
        <v>15</v>
      </c>
    </row>
    <row r="27" spans="1:19" x14ac:dyDescent="0.25">
      <c r="A27" s="17">
        <v>26</v>
      </c>
      <c r="B27" s="18" t="s">
        <v>15</v>
      </c>
      <c r="C27" s="18" t="s">
        <v>2840</v>
      </c>
      <c r="D27" s="18" t="s">
        <v>44</v>
      </c>
      <c r="E27" s="18" t="s">
        <v>15</v>
      </c>
      <c r="F27" s="18" t="s">
        <v>15</v>
      </c>
      <c r="G27" s="18" t="s">
        <v>2841</v>
      </c>
      <c r="H27" s="18" t="s">
        <v>2902</v>
      </c>
      <c r="I27" s="18" t="s">
        <v>15</v>
      </c>
      <c r="J27" s="18" t="s">
        <v>2903</v>
      </c>
      <c r="K27" s="18" t="s">
        <v>15</v>
      </c>
      <c r="L27" s="18" t="s">
        <v>2904</v>
      </c>
      <c r="M27" s="18" t="s">
        <v>15</v>
      </c>
      <c r="N27" s="18" t="s">
        <v>15</v>
      </c>
      <c r="O27" s="18" t="s">
        <v>2845</v>
      </c>
      <c r="P27" s="18" t="s">
        <v>15</v>
      </c>
      <c r="Q27" s="18" t="s">
        <v>15</v>
      </c>
      <c r="R27" s="18" t="s">
        <v>15</v>
      </c>
      <c r="S27" s="18" t="s">
        <v>15</v>
      </c>
    </row>
    <row r="28" spans="1:19" x14ac:dyDescent="0.25">
      <c r="A28" s="17">
        <v>27</v>
      </c>
      <c r="B28" s="18" t="s">
        <v>15</v>
      </c>
      <c r="C28" s="18" t="s">
        <v>2840</v>
      </c>
      <c r="D28" s="18" t="s">
        <v>44</v>
      </c>
      <c r="E28" s="18" t="s">
        <v>15</v>
      </c>
      <c r="F28" s="18" t="s">
        <v>15</v>
      </c>
      <c r="G28" s="18" t="s">
        <v>2846</v>
      </c>
      <c r="H28" s="18" t="s">
        <v>2905</v>
      </c>
      <c r="I28" s="18" t="s">
        <v>15</v>
      </c>
      <c r="J28" s="18" t="s">
        <v>2903</v>
      </c>
      <c r="K28" s="18" t="s">
        <v>15</v>
      </c>
      <c r="L28" s="18" t="s">
        <v>2906</v>
      </c>
      <c r="M28" s="18" t="s">
        <v>15</v>
      </c>
      <c r="N28" s="18" t="s">
        <v>15</v>
      </c>
      <c r="O28" s="18" t="s">
        <v>2849</v>
      </c>
      <c r="P28" s="18" t="s">
        <v>15</v>
      </c>
      <c r="Q28" s="18" t="s">
        <v>15</v>
      </c>
      <c r="R28" s="18" t="s">
        <v>15</v>
      </c>
      <c r="S28" s="18" t="s">
        <v>15</v>
      </c>
    </row>
    <row r="29" spans="1:19" x14ac:dyDescent="0.25">
      <c r="A29" s="17">
        <v>28</v>
      </c>
      <c r="B29" s="18" t="s">
        <v>15</v>
      </c>
      <c r="C29" s="18" t="s">
        <v>2840</v>
      </c>
      <c r="D29" s="18" t="s">
        <v>44</v>
      </c>
      <c r="E29" s="18" t="s">
        <v>15</v>
      </c>
      <c r="F29" s="18" t="s">
        <v>15</v>
      </c>
      <c r="G29" s="18" t="s">
        <v>2846</v>
      </c>
      <c r="H29" s="18" t="s">
        <v>2907</v>
      </c>
      <c r="I29" s="18" t="s">
        <v>15</v>
      </c>
      <c r="J29" s="18" t="s">
        <v>2903</v>
      </c>
      <c r="K29" s="18" t="s">
        <v>15</v>
      </c>
      <c r="L29" s="18" t="s">
        <v>2908</v>
      </c>
      <c r="M29" s="18" t="s">
        <v>15</v>
      </c>
      <c r="N29" s="18" t="s">
        <v>15</v>
      </c>
      <c r="O29" s="18" t="s">
        <v>2852</v>
      </c>
      <c r="P29" s="18" t="s">
        <v>15</v>
      </c>
      <c r="Q29" s="18" t="s">
        <v>15</v>
      </c>
      <c r="R29" s="18" t="s">
        <v>15</v>
      </c>
      <c r="S29" s="18" t="s">
        <v>15</v>
      </c>
    </row>
    <row r="30" spans="1:19" ht="30" x14ac:dyDescent="0.25">
      <c r="A30" s="17">
        <v>29</v>
      </c>
      <c r="B30" s="18" t="s">
        <v>15</v>
      </c>
      <c r="C30" s="18" t="s">
        <v>2840</v>
      </c>
      <c r="D30" s="18" t="s">
        <v>44</v>
      </c>
      <c r="E30" s="18" t="s">
        <v>15</v>
      </c>
      <c r="F30" s="18" t="s">
        <v>15</v>
      </c>
      <c r="G30" s="18" t="s">
        <v>2841</v>
      </c>
      <c r="H30" s="18" t="s">
        <v>2909</v>
      </c>
      <c r="I30" s="18" t="s">
        <v>15</v>
      </c>
      <c r="J30" s="18" t="s">
        <v>2910</v>
      </c>
      <c r="K30" s="18" t="s">
        <v>15</v>
      </c>
      <c r="L30" s="18" t="s">
        <v>2911</v>
      </c>
      <c r="M30" s="18" t="s">
        <v>15</v>
      </c>
      <c r="N30" s="18" t="s">
        <v>15</v>
      </c>
      <c r="O30" s="18" t="s">
        <v>2845</v>
      </c>
      <c r="P30" s="18" t="s">
        <v>15</v>
      </c>
      <c r="Q30" s="18" t="s">
        <v>15</v>
      </c>
      <c r="R30" s="18" t="s">
        <v>15</v>
      </c>
      <c r="S30" s="18" t="s">
        <v>15</v>
      </c>
    </row>
    <row r="31" spans="1:19" ht="30" x14ac:dyDescent="0.25">
      <c r="A31" s="17">
        <v>30</v>
      </c>
      <c r="B31" s="18" t="s">
        <v>15</v>
      </c>
      <c r="C31" s="18" t="s">
        <v>2840</v>
      </c>
      <c r="D31" s="18" t="s">
        <v>44</v>
      </c>
      <c r="E31" s="18" t="s">
        <v>15</v>
      </c>
      <c r="F31" s="18" t="s">
        <v>15</v>
      </c>
      <c r="G31" s="18" t="s">
        <v>2846</v>
      </c>
      <c r="H31" s="18" t="s">
        <v>2912</v>
      </c>
      <c r="I31" s="18" t="s">
        <v>15</v>
      </c>
      <c r="J31" s="18" t="s">
        <v>2910</v>
      </c>
      <c r="K31" s="18" t="s">
        <v>15</v>
      </c>
      <c r="L31" s="18" t="s">
        <v>2913</v>
      </c>
      <c r="M31" s="18" t="s">
        <v>15</v>
      </c>
      <c r="N31" s="18" t="s">
        <v>15</v>
      </c>
      <c r="O31" s="18" t="s">
        <v>2849</v>
      </c>
      <c r="P31" s="18" t="s">
        <v>15</v>
      </c>
      <c r="Q31" s="18" t="s">
        <v>15</v>
      </c>
      <c r="R31" s="18" t="s">
        <v>15</v>
      </c>
      <c r="S31" s="18" t="s">
        <v>15</v>
      </c>
    </row>
    <row r="32" spans="1:19" x14ac:dyDescent="0.25">
      <c r="A32" s="17">
        <v>31</v>
      </c>
      <c r="B32" s="18" t="s">
        <v>15</v>
      </c>
      <c r="C32" s="18" t="s">
        <v>2840</v>
      </c>
      <c r="D32" s="18" t="s">
        <v>44</v>
      </c>
      <c r="E32" s="18" t="s">
        <v>15</v>
      </c>
      <c r="F32" s="18" t="s">
        <v>15</v>
      </c>
      <c r="G32" s="18" t="s">
        <v>2846</v>
      </c>
      <c r="H32" s="18" t="s">
        <v>2914</v>
      </c>
      <c r="I32" s="18" t="s">
        <v>15</v>
      </c>
      <c r="J32" s="18" t="s">
        <v>2910</v>
      </c>
      <c r="K32" s="18" t="s">
        <v>15</v>
      </c>
      <c r="L32" s="18" t="s">
        <v>2915</v>
      </c>
      <c r="M32" s="18" t="s">
        <v>15</v>
      </c>
      <c r="N32" s="18" t="s">
        <v>15</v>
      </c>
      <c r="O32" s="18" t="s">
        <v>2852</v>
      </c>
      <c r="P32" s="18" t="s">
        <v>15</v>
      </c>
      <c r="Q32" s="18" t="s">
        <v>15</v>
      </c>
      <c r="R32" s="18" t="s">
        <v>15</v>
      </c>
      <c r="S32" s="18" t="s">
        <v>15</v>
      </c>
    </row>
    <row r="33" spans="1:19" ht="30" x14ac:dyDescent="0.25">
      <c r="A33" s="17">
        <v>32</v>
      </c>
      <c r="B33" s="18" t="s">
        <v>15</v>
      </c>
      <c r="C33" s="18" t="s">
        <v>2840</v>
      </c>
      <c r="D33" s="18" t="s">
        <v>44</v>
      </c>
      <c r="E33" s="18" t="s">
        <v>15</v>
      </c>
      <c r="F33" s="18" t="s">
        <v>15</v>
      </c>
      <c r="G33" s="18" t="s">
        <v>2841</v>
      </c>
      <c r="H33" s="18" t="s">
        <v>2916</v>
      </c>
      <c r="I33" s="18" t="s">
        <v>15</v>
      </c>
      <c r="J33" s="18" t="s">
        <v>2917</v>
      </c>
      <c r="K33" s="18" t="s">
        <v>15</v>
      </c>
      <c r="L33" s="18" t="s">
        <v>2918</v>
      </c>
      <c r="M33" s="18" t="s">
        <v>15</v>
      </c>
      <c r="N33" s="18" t="s">
        <v>15</v>
      </c>
      <c r="O33" s="18" t="s">
        <v>2845</v>
      </c>
      <c r="P33" s="18" t="s">
        <v>15</v>
      </c>
      <c r="Q33" s="18" t="s">
        <v>15</v>
      </c>
      <c r="R33" s="18" t="s">
        <v>15</v>
      </c>
      <c r="S33" s="18" t="s">
        <v>15</v>
      </c>
    </row>
    <row r="34" spans="1:19" x14ac:dyDescent="0.25">
      <c r="A34" s="17">
        <v>33</v>
      </c>
      <c r="B34" s="18" t="s">
        <v>15</v>
      </c>
      <c r="C34" s="18" t="s">
        <v>2840</v>
      </c>
      <c r="D34" s="18" t="s">
        <v>44</v>
      </c>
      <c r="E34" s="18" t="s">
        <v>15</v>
      </c>
      <c r="F34" s="18" t="s">
        <v>15</v>
      </c>
      <c r="G34" s="18" t="s">
        <v>2846</v>
      </c>
      <c r="H34" s="18" t="s">
        <v>2919</v>
      </c>
      <c r="I34" s="18" t="s">
        <v>15</v>
      </c>
      <c r="J34" s="18" t="s">
        <v>2917</v>
      </c>
      <c r="K34" s="18" t="s">
        <v>15</v>
      </c>
      <c r="L34" s="18" t="s">
        <v>2920</v>
      </c>
      <c r="M34" s="18" t="s">
        <v>15</v>
      </c>
      <c r="N34" s="18" t="s">
        <v>15</v>
      </c>
      <c r="O34" s="18" t="s">
        <v>2849</v>
      </c>
      <c r="P34" s="18" t="s">
        <v>15</v>
      </c>
      <c r="Q34" s="18" t="s">
        <v>15</v>
      </c>
      <c r="R34" s="18" t="s">
        <v>15</v>
      </c>
      <c r="S34" s="18" t="s">
        <v>15</v>
      </c>
    </row>
    <row r="35" spans="1:19" x14ac:dyDescent="0.25">
      <c r="A35" s="17">
        <v>34</v>
      </c>
      <c r="B35" s="18" t="s">
        <v>15</v>
      </c>
      <c r="C35" s="18" t="s">
        <v>2840</v>
      </c>
      <c r="D35" s="18" t="s">
        <v>44</v>
      </c>
      <c r="E35" s="18" t="s">
        <v>15</v>
      </c>
      <c r="F35" s="18" t="s">
        <v>15</v>
      </c>
      <c r="G35" s="18" t="s">
        <v>2846</v>
      </c>
      <c r="H35" s="18" t="s">
        <v>2921</v>
      </c>
      <c r="I35" s="18" t="s">
        <v>15</v>
      </c>
      <c r="J35" s="18" t="s">
        <v>2917</v>
      </c>
      <c r="K35" s="18" t="s">
        <v>15</v>
      </c>
      <c r="L35" s="18" t="s">
        <v>2922</v>
      </c>
      <c r="M35" s="18" t="s">
        <v>15</v>
      </c>
      <c r="N35" s="18" t="s">
        <v>15</v>
      </c>
      <c r="O35" s="18" t="s">
        <v>2852</v>
      </c>
      <c r="P35" s="18" t="s">
        <v>15</v>
      </c>
      <c r="Q35" s="18" t="s">
        <v>15</v>
      </c>
      <c r="R35" s="18" t="s">
        <v>15</v>
      </c>
      <c r="S35" s="18" t="s">
        <v>15</v>
      </c>
    </row>
    <row r="36" spans="1:19" x14ac:dyDescent="0.25">
      <c r="A36" s="17">
        <v>35</v>
      </c>
      <c r="B36" s="18" t="s">
        <v>15</v>
      </c>
      <c r="C36" s="18" t="s">
        <v>2840</v>
      </c>
      <c r="D36" s="18" t="s">
        <v>44</v>
      </c>
      <c r="E36" s="18" t="s">
        <v>15</v>
      </c>
      <c r="F36" s="18" t="s">
        <v>15</v>
      </c>
      <c r="G36" s="18" t="s">
        <v>2841</v>
      </c>
      <c r="H36" s="18" t="s">
        <v>2923</v>
      </c>
      <c r="I36" s="18" t="s">
        <v>15</v>
      </c>
      <c r="J36" s="18" t="s">
        <v>2924</v>
      </c>
      <c r="K36" s="18" t="s">
        <v>15</v>
      </c>
      <c r="L36" s="18" t="s">
        <v>2925</v>
      </c>
      <c r="M36" s="18" t="s">
        <v>15</v>
      </c>
      <c r="N36" s="18" t="s">
        <v>15</v>
      </c>
      <c r="O36" s="18" t="s">
        <v>2845</v>
      </c>
      <c r="P36" s="18" t="s">
        <v>15</v>
      </c>
      <c r="Q36" s="18" t="s">
        <v>15</v>
      </c>
      <c r="R36" s="18" t="s">
        <v>15</v>
      </c>
      <c r="S36" s="18" t="s">
        <v>15</v>
      </c>
    </row>
    <row r="37" spans="1:19" x14ac:dyDescent="0.25">
      <c r="A37" s="17">
        <v>36</v>
      </c>
      <c r="B37" s="18" t="s">
        <v>15</v>
      </c>
      <c r="C37" s="18" t="s">
        <v>2840</v>
      </c>
      <c r="D37" s="18" t="s">
        <v>44</v>
      </c>
      <c r="E37" s="18" t="s">
        <v>15</v>
      </c>
      <c r="F37" s="18" t="s">
        <v>15</v>
      </c>
      <c r="G37" s="18" t="s">
        <v>2846</v>
      </c>
      <c r="H37" s="18" t="s">
        <v>2926</v>
      </c>
      <c r="I37" s="18" t="s">
        <v>15</v>
      </c>
      <c r="J37" s="18" t="s">
        <v>2924</v>
      </c>
      <c r="K37" s="18" t="s">
        <v>15</v>
      </c>
      <c r="L37" s="18" t="s">
        <v>2927</v>
      </c>
      <c r="M37" s="18" t="s">
        <v>15</v>
      </c>
      <c r="N37" s="18" t="s">
        <v>15</v>
      </c>
      <c r="O37" s="18" t="s">
        <v>2849</v>
      </c>
      <c r="P37" s="18" t="s">
        <v>15</v>
      </c>
      <c r="Q37" s="18" t="s">
        <v>15</v>
      </c>
      <c r="R37" s="18" t="s">
        <v>15</v>
      </c>
      <c r="S37" s="18" t="s">
        <v>15</v>
      </c>
    </row>
    <row r="38" spans="1:19" x14ac:dyDescent="0.25">
      <c r="A38" s="17">
        <v>37</v>
      </c>
      <c r="B38" s="18" t="s">
        <v>15</v>
      </c>
      <c r="C38" s="18" t="s">
        <v>2840</v>
      </c>
      <c r="D38" s="18" t="s">
        <v>44</v>
      </c>
      <c r="E38" s="18" t="s">
        <v>15</v>
      </c>
      <c r="F38" s="18" t="s">
        <v>15</v>
      </c>
      <c r="G38" s="18" t="s">
        <v>2846</v>
      </c>
      <c r="H38" s="18" t="s">
        <v>2928</v>
      </c>
      <c r="I38" s="18" t="s">
        <v>15</v>
      </c>
      <c r="J38" s="18" t="s">
        <v>2924</v>
      </c>
      <c r="K38" s="18" t="s">
        <v>15</v>
      </c>
      <c r="L38" s="18" t="s">
        <v>2929</v>
      </c>
      <c r="M38" s="18" t="s">
        <v>15</v>
      </c>
      <c r="N38" s="18" t="s">
        <v>15</v>
      </c>
      <c r="O38" s="18" t="s">
        <v>2852</v>
      </c>
      <c r="P38" s="18" t="s">
        <v>15</v>
      </c>
      <c r="Q38" s="18" t="s">
        <v>15</v>
      </c>
      <c r="R38" s="18" t="s">
        <v>15</v>
      </c>
      <c r="S38" s="18" t="s">
        <v>15</v>
      </c>
    </row>
    <row r="39" spans="1:19" x14ac:dyDescent="0.25">
      <c r="A39" s="17">
        <v>38</v>
      </c>
      <c r="B39" s="18" t="s">
        <v>15</v>
      </c>
      <c r="C39" s="18" t="s">
        <v>2840</v>
      </c>
      <c r="D39" s="18" t="s">
        <v>44</v>
      </c>
      <c r="E39" s="18" t="s">
        <v>15</v>
      </c>
      <c r="F39" s="18" t="s">
        <v>15</v>
      </c>
      <c r="G39" s="18" t="s">
        <v>2841</v>
      </c>
      <c r="H39" s="18" t="s">
        <v>2930</v>
      </c>
      <c r="I39" s="18" t="s">
        <v>2931</v>
      </c>
      <c r="J39" s="18" t="s">
        <v>2932</v>
      </c>
      <c r="K39" s="18" t="s">
        <v>15</v>
      </c>
      <c r="L39" s="18" t="s">
        <v>2855</v>
      </c>
      <c r="M39" s="18" t="s">
        <v>15</v>
      </c>
      <c r="N39" s="18" t="s">
        <v>15</v>
      </c>
      <c r="O39" s="18" t="s">
        <v>2845</v>
      </c>
      <c r="P39" s="18" t="s">
        <v>15</v>
      </c>
      <c r="Q39" s="18" t="s">
        <v>15</v>
      </c>
      <c r="R39" s="18" t="s">
        <v>15</v>
      </c>
      <c r="S39" s="18" t="s">
        <v>15</v>
      </c>
    </row>
    <row r="40" spans="1:19" x14ac:dyDescent="0.25">
      <c r="A40" s="17">
        <v>39</v>
      </c>
      <c r="B40" s="18" t="s">
        <v>15</v>
      </c>
      <c r="C40" s="18" t="s">
        <v>2840</v>
      </c>
      <c r="D40" s="18" t="s">
        <v>44</v>
      </c>
      <c r="E40" s="18" t="s">
        <v>15</v>
      </c>
      <c r="F40" s="18" t="s">
        <v>15</v>
      </c>
      <c r="G40" s="18" t="s">
        <v>2846</v>
      </c>
      <c r="H40" s="18" t="s">
        <v>2933</v>
      </c>
      <c r="I40" s="18" t="s">
        <v>15</v>
      </c>
      <c r="J40" s="18" t="s">
        <v>2932</v>
      </c>
      <c r="K40" s="18" t="s">
        <v>15</v>
      </c>
      <c r="L40" s="18" t="s">
        <v>2857</v>
      </c>
      <c r="M40" s="18" t="s">
        <v>15</v>
      </c>
      <c r="N40" s="18" t="s">
        <v>15</v>
      </c>
      <c r="O40" s="18" t="s">
        <v>2849</v>
      </c>
      <c r="P40" s="18" t="s">
        <v>15</v>
      </c>
      <c r="Q40" s="18" t="s">
        <v>15</v>
      </c>
      <c r="R40" s="18" t="s">
        <v>15</v>
      </c>
      <c r="S40" s="18" t="s">
        <v>15</v>
      </c>
    </row>
    <row r="41" spans="1:19" x14ac:dyDescent="0.25">
      <c r="A41" s="17">
        <v>40</v>
      </c>
      <c r="B41" s="18" t="s">
        <v>15</v>
      </c>
      <c r="C41" s="18" t="s">
        <v>2840</v>
      </c>
      <c r="D41" s="18" t="s">
        <v>44</v>
      </c>
      <c r="E41" s="18" t="s">
        <v>15</v>
      </c>
      <c r="F41" s="18" t="s">
        <v>15</v>
      </c>
      <c r="G41" s="18" t="s">
        <v>2846</v>
      </c>
      <c r="H41" s="18" t="s">
        <v>2934</v>
      </c>
      <c r="I41" s="18" t="s">
        <v>15</v>
      </c>
      <c r="J41" s="18" t="s">
        <v>2932</v>
      </c>
      <c r="K41" s="18" t="s">
        <v>15</v>
      </c>
      <c r="L41" s="18" t="s">
        <v>2859</v>
      </c>
      <c r="M41" s="18" t="s">
        <v>15</v>
      </c>
      <c r="N41" s="18" t="s">
        <v>15</v>
      </c>
      <c r="O41" s="18" t="s">
        <v>2852</v>
      </c>
      <c r="P41" s="18" t="s">
        <v>15</v>
      </c>
      <c r="Q41" s="18" t="s">
        <v>15</v>
      </c>
      <c r="R41" s="18" t="s">
        <v>15</v>
      </c>
      <c r="S41" s="18" t="s">
        <v>15</v>
      </c>
    </row>
    <row r="42" spans="1:19" x14ac:dyDescent="0.25">
      <c r="A42" s="17">
        <v>41</v>
      </c>
      <c r="B42" s="18" t="s">
        <v>15</v>
      </c>
      <c r="C42" s="18" t="s">
        <v>2935</v>
      </c>
      <c r="D42" s="18" t="s">
        <v>44</v>
      </c>
      <c r="E42" s="18" t="s">
        <v>15</v>
      </c>
      <c r="F42" s="18" t="s">
        <v>15</v>
      </c>
      <c r="G42" s="18" t="s">
        <v>2936</v>
      </c>
      <c r="H42" s="18" t="s">
        <v>2937</v>
      </c>
      <c r="I42" s="18" t="s">
        <v>47</v>
      </c>
      <c r="J42" s="18" t="s">
        <v>2868</v>
      </c>
      <c r="K42" s="18" t="s">
        <v>2837</v>
      </c>
      <c r="L42" s="18" t="s">
        <v>2938</v>
      </c>
      <c r="M42" s="18" t="s">
        <v>15</v>
      </c>
      <c r="N42" s="18" t="s">
        <v>15</v>
      </c>
      <c r="O42" s="18" t="s">
        <v>15</v>
      </c>
      <c r="P42" s="18" t="s">
        <v>15</v>
      </c>
      <c r="Q42" s="18" t="s">
        <v>15</v>
      </c>
      <c r="R42" s="18" t="s">
        <v>15</v>
      </c>
      <c r="S42" s="18" t="s">
        <v>15</v>
      </c>
    </row>
    <row r="43" spans="1:19" x14ac:dyDescent="0.25">
      <c r="A43" s="17">
        <v>42</v>
      </c>
      <c r="B43" s="18" t="s">
        <v>15</v>
      </c>
      <c r="C43" s="18" t="s">
        <v>2939</v>
      </c>
      <c r="D43" s="18" t="s">
        <v>44</v>
      </c>
      <c r="E43" s="18" t="s">
        <v>15</v>
      </c>
      <c r="F43" s="18" t="s">
        <v>15</v>
      </c>
      <c r="G43" s="18" t="s">
        <v>2940</v>
      </c>
      <c r="H43" s="18" t="s">
        <v>2941</v>
      </c>
      <c r="I43" s="18" t="s">
        <v>74</v>
      </c>
      <c r="J43" s="18" t="s">
        <v>2942</v>
      </c>
      <c r="K43" s="18" t="s">
        <v>2943</v>
      </c>
      <c r="L43" s="18" t="s">
        <v>2944</v>
      </c>
      <c r="M43" s="18" t="s">
        <v>15</v>
      </c>
      <c r="N43" s="18" t="s">
        <v>15</v>
      </c>
      <c r="O43" s="18" t="s">
        <v>15</v>
      </c>
      <c r="P43" s="18" t="s">
        <v>15</v>
      </c>
      <c r="Q43" s="18" t="s">
        <v>15</v>
      </c>
      <c r="R43" s="18" t="s">
        <v>15</v>
      </c>
      <c r="S43" s="18" t="s">
        <v>15</v>
      </c>
    </row>
    <row r="44" spans="1:19" x14ac:dyDescent="0.25">
      <c r="A44" s="17">
        <v>43</v>
      </c>
      <c r="B44" s="18" t="s">
        <v>15</v>
      </c>
      <c r="C44" s="18" t="s">
        <v>2939</v>
      </c>
      <c r="D44" s="18" t="s">
        <v>44</v>
      </c>
      <c r="E44" s="18" t="s">
        <v>15</v>
      </c>
      <c r="F44" s="18" t="s">
        <v>15</v>
      </c>
      <c r="G44" s="18" t="s">
        <v>15</v>
      </c>
      <c r="H44" s="18" t="s">
        <v>15</v>
      </c>
      <c r="I44" s="18" t="s">
        <v>74</v>
      </c>
      <c r="J44" s="18" t="s">
        <v>2868</v>
      </c>
      <c r="K44" s="18" t="s">
        <v>2837</v>
      </c>
      <c r="L44" s="18" t="s">
        <v>2945</v>
      </c>
      <c r="M44" s="18" t="s">
        <v>15</v>
      </c>
      <c r="N44" s="18" t="s">
        <v>15</v>
      </c>
      <c r="O44" s="18" t="s">
        <v>15</v>
      </c>
      <c r="P44" s="18" t="s">
        <v>15</v>
      </c>
      <c r="Q44" s="18" t="s">
        <v>15</v>
      </c>
      <c r="R44" s="18" t="s">
        <v>15</v>
      </c>
      <c r="S44" s="18" t="s">
        <v>15</v>
      </c>
    </row>
    <row r="45" spans="1:19" x14ac:dyDescent="0.25">
      <c r="A45" s="17">
        <v>44</v>
      </c>
      <c r="B45" s="18" t="s">
        <v>15</v>
      </c>
      <c r="C45" s="18" t="s">
        <v>2939</v>
      </c>
      <c r="D45" s="18" t="s">
        <v>44</v>
      </c>
      <c r="E45" s="18" t="s">
        <v>15</v>
      </c>
      <c r="F45" s="18" t="s">
        <v>15</v>
      </c>
      <c r="G45" s="18" t="s">
        <v>15</v>
      </c>
      <c r="H45" s="18" t="s">
        <v>2946</v>
      </c>
      <c r="I45" s="18" t="s">
        <v>74</v>
      </c>
      <c r="J45" s="18" t="s">
        <v>2947</v>
      </c>
      <c r="K45" s="18" t="s">
        <v>2837</v>
      </c>
      <c r="L45" s="18" t="s">
        <v>2948</v>
      </c>
      <c r="M45" s="18" t="s">
        <v>15</v>
      </c>
      <c r="N45" s="18" t="s">
        <v>15</v>
      </c>
      <c r="O45" s="18" t="s">
        <v>15</v>
      </c>
      <c r="P45" s="18" t="s">
        <v>15</v>
      </c>
      <c r="Q45" s="18" t="s">
        <v>15</v>
      </c>
      <c r="R45" s="18" t="s">
        <v>15</v>
      </c>
      <c r="S45" s="18" t="s">
        <v>15</v>
      </c>
    </row>
    <row r="46" spans="1:19" x14ac:dyDescent="0.25">
      <c r="A46" s="17">
        <v>45</v>
      </c>
      <c r="B46" s="18" t="s">
        <v>15</v>
      </c>
      <c r="C46" s="18" t="s">
        <v>2939</v>
      </c>
      <c r="D46" s="18" t="s">
        <v>44</v>
      </c>
      <c r="E46" s="18" t="s">
        <v>15</v>
      </c>
      <c r="F46" s="18" t="s">
        <v>15</v>
      </c>
      <c r="G46" s="18" t="s">
        <v>2936</v>
      </c>
      <c r="H46" s="18" t="s">
        <v>2949</v>
      </c>
      <c r="I46" s="18" t="s">
        <v>74</v>
      </c>
      <c r="J46" s="18" t="s">
        <v>2950</v>
      </c>
      <c r="K46" s="18" t="s">
        <v>2837</v>
      </c>
      <c r="L46" s="18" t="s">
        <v>2951</v>
      </c>
      <c r="M46" s="18" t="s">
        <v>15</v>
      </c>
      <c r="N46" s="18" t="s">
        <v>15</v>
      </c>
      <c r="O46" s="18" t="s">
        <v>15</v>
      </c>
      <c r="P46" s="18" t="s">
        <v>15</v>
      </c>
      <c r="Q46" s="18" t="s">
        <v>15</v>
      </c>
      <c r="R46" s="18" t="s">
        <v>15</v>
      </c>
      <c r="S46" s="18" t="s">
        <v>15</v>
      </c>
    </row>
    <row r="47" spans="1:19" x14ac:dyDescent="0.25">
      <c r="A47" s="17">
        <v>46</v>
      </c>
      <c r="B47" s="18" t="s">
        <v>15</v>
      </c>
      <c r="C47" s="18" t="s">
        <v>2939</v>
      </c>
      <c r="D47" s="18" t="s">
        <v>44</v>
      </c>
      <c r="E47" s="18" t="s">
        <v>15</v>
      </c>
      <c r="F47" s="18" t="s">
        <v>15</v>
      </c>
      <c r="G47" s="18" t="s">
        <v>22</v>
      </c>
      <c r="H47" s="18" t="s">
        <v>2952</v>
      </c>
      <c r="I47" s="18" t="s">
        <v>74</v>
      </c>
      <c r="J47" s="18" t="s">
        <v>2953</v>
      </c>
      <c r="K47" s="18" t="s">
        <v>2837</v>
      </c>
      <c r="L47" s="18" t="s">
        <v>2954</v>
      </c>
      <c r="M47" s="18" t="s">
        <v>15</v>
      </c>
      <c r="N47" s="18" t="s">
        <v>15</v>
      </c>
      <c r="O47" s="18" t="s">
        <v>15</v>
      </c>
      <c r="P47" s="18" t="s">
        <v>15</v>
      </c>
      <c r="Q47" s="18" t="s">
        <v>15</v>
      </c>
      <c r="R47" s="18" t="s">
        <v>15</v>
      </c>
      <c r="S47" s="18" t="s">
        <v>15</v>
      </c>
    </row>
    <row r="48" spans="1:19" x14ac:dyDescent="0.25">
      <c r="A48" s="17">
        <v>47</v>
      </c>
      <c r="B48" s="18" t="s">
        <v>15</v>
      </c>
      <c r="C48" s="18" t="s">
        <v>2939</v>
      </c>
      <c r="D48" s="18" t="s">
        <v>44</v>
      </c>
      <c r="E48" s="18" t="s">
        <v>15</v>
      </c>
      <c r="F48" s="18" t="s">
        <v>15</v>
      </c>
      <c r="G48" s="18" t="s">
        <v>15</v>
      </c>
      <c r="H48" s="18" t="s">
        <v>2955</v>
      </c>
      <c r="I48" s="18" t="s">
        <v>74</v>
      </c>
      <c r="J48" s="18" t="s">
        <v>2956</v>
      </c>
      <c r="K48" s="18" t="s">
        <v>2837</v>
      </c>
      <c r="L48" s="18" t="s">
        <v>2957</v>
      </c>
      <c r="M48" s="18" t="s">
        <v>15</v>
      </c>
      <c r="N48" s="18" t="s">
        <v>15</v>
      </c>
      <c r="O48" s="18" t="s">
        <v>15</v>
      </c>
      <c r="P48" s="18" t="s">
        <v>15</v>
      </c>
      <c r="Q48" s="18" t="s">
        <v>15</v>
      </c>
      <c r="R48" s="18" t="s">
        <v>15</v>
      </c>
      <c r="S48" s="18" t="s">
        <v>15</v>
      </c>
    </row>
    <row r="49" spans="1:19" x14ac:dyDescent="0.25">
      <c r="A49" s="17">
        <v>48</v>
      </c>
      <c r="B49" s="18" t="s">
        <v>15</v>
      </c>
      <c r="C49" s="18" t="s">
        <v>2939</v>
      </c>
      <c r="D49" s="18" t="s">
        <v>44</v>
      </c>
      <c r="E49" s="18" t="s">
        <v>15</v>
      </c>
      <c r="F49" s="18" t="s">
        <v>15</v>
      </c>
      <c r="G49" s="18" t="s">
        <v>15</v>
      </c>
      <c r="H49" s="18" t="s">
        <v>2958</v>
      </c>
      <c r="I49" s="18" t="s">
        <v>74</v>
      </c>
      <c r="J49" s="18" t="s">
        <v>2889</v>
      </c>
      <c r="K49" s="18" t="s">
        <v>2837</v>
      </c>
      <c r="L49" s="18" t="s">
        <v>2959</v>
      </c>
      <c r="M49" s="18" t="s">
        <v>15</v>
      </c>
      <c r="N49" s="18" t="s">
        <v>15</v>
      </c>
      <c r="O49" s="18" t="s">
        <v>15</v>
      </c>
      <c r="P49" s="18" t="s">
        <v>15</v>
      </c>
      <c r="Q49" s="18" t="s">
        <v>15</v>
      </c>
      <c r="R49" s="18" t="s">
        <v>15</v>
      </c>
      <c r="S49" s="18" t="s">
        <v>15</v>
      </c>
    </row>
    <row r="50" spans="1:19" x14ac:dyDescent="0.25">
      <c r="A50" s="17">
        <v>49</v>
      </c>
      <c r="B50" s="18" t="s">
        <v>15</v>
      </c>
      <c r="C50" s="18" t="s">
        <v>2939</v>
      </c>
      <c r="D50" s="18" t="s">
        <v>44</v>
      </c>
      <c r="E50" s="18" t="s">
        <v>15</v>
      </c>
      <c r="F50" s="18" t="s">
        <v>15</v>
      </c>
      <c r="G50" s="18" t="s">
        <v>15</v>
      </c>
      <c r="H50" s="18" t="s">
        <v>2960</v>
      </c>
      <c r="I50" s="18" t="s">
        <v>74</v>
      </c>
      <c r="J50" s="18" t="s">
        <v>2961</v>
      </c>
      <c r="K50" s="18" t="s">
        <v>2837</v>
      </c>
      <c r="L50" s="18" t="s">
        <v>2962</v>
      </c>
      <c r="M50" s="18" t="s">
        <v>15</v>
      </c>
      <c r="N50" s="18" t="s">
        <v>15</v>
      </c>
      <c r="O50" s="18" t="s">
        <v>15</v>
      </c>
      <c r="P50" s="18" t="s">
        <v>15</v>
      </c>
      <c r="Q50" s="18" t="s">
        <v>15</v>
      </c>
      <c r="R50" s="18" t="s">
        <v>15</v>
      </c>
      <c r="S50" s="18" t="s">
        <v>15</v>
      </c>
    </row>
    <row r="51" spans="1:19" x14ac:dyDescent="0.25">
      <c r="A51" s="17">
        <v>50</v>
      </c>
      <c r="B51" s="18" t="s">
        <v>15</v>
      </c>
      <c r="C51" s="18" t="s">
        <v>2939</v>
      </c>
      <c r="D51" s="18" t="s">
        <v>44</v>
      </c>
      <c r="E51" s="18" t="s">
        <v>15</v>
      </c>
      <c r="F51" s="18" t="s">
        <v>15</v>
      </c>
      <c r="G51" s="18" t="s">
        <v>15</v>
      </c>
      <c r="H51" s="18" t="s">
        <v>2963</v>
      </c>
      <c r="I51" s="18" t="s">
        <v>74</v>
      </c>
      <c r="J51" s="18" t="s">
        <v>2964</v>
      </c>
      <c r="K51" s="18" t="s">
        <v>2837</v>
      </c>
      <c r="L51" s="18" t="s">
        <v>2965</v>
      </c>
      <c r="M51" s="18" t="s">
        <v>15</v>
      </c>
      <c r="N51" s="18" t="s">
        <v>15</v>
      </c>
      <c r="O51" s="18" t="s">
        <v>15</v>
      </c>
      <c r="P51" s="18" t="s">
        <v>15</v>
      </c>
      <c r="Q51" s="18" t="s">
        <v>15</v>
      </c>
      <c r="R51" s="18" t="s">
        <v>15</v>
      </c>
      <c r="S51" s="18" t="s">
        <v>15</v>
      </c>
    </row>
    <row r="52" spans="1:19" x14ac:dyDescent="0.25">
      <c r="A52" s="17">
        <v>51</v>
      </c>
      <c r="B52" s="18" t="s">
        <v>15</v>
      </c>
      <c r="C52" s="18" t="s">
        <v>15</v>
      </c>
      <c r="D52" s="18" t="s">
        <v>44</v>
      </c>
      <c r="E52" s="18" t="s">
        <v>15</v>
      </c>
      <c r="F52" s="18" t="s">
        <v>15</v>
      </c>
      <c r="G52" s="18" t="s">
        <v>2936</v>
      </c>
      <c r="H52" s="18" t="s">
        <v>2966</v>
      </c>
      <c r="I52" s="18" t="s">
        <v>15</v>
      </c>
      <c r="J52" s="18" t="s">
        <v>2910</v>
      </c>
      <c r="K52" s="18" t="s">
        <v>15</v>
      </c>
      <c r="L52" s="18" t="s">
        <v>2967</v>
      </c>
      <c r="M52" s="18" t="s">
        <v>15</v>
      </c>
      <c r="N52" s="18" t="s">
        <v>15</v>
      </c>
      <c r="O52" s="18" t="s">
        <v>15</v>
      </c>
      <c r="P52" s="18" t="s">
        <v>15</v>
      </c>
      <c r="Q52" s="18" t="s">
        <v>15</v>
      </c>
      <c r="R52" s="18" t="s">
        <v>15</v>
      </c>
      <c r="S52" s="18" t="s">
        <v>15</v>
      </c>
    </row>
    <row r="53" spans="1:19" x14ac:dyDescent="0.25">
      <c r="A53" s="17">
        <v>52</v>
      </c>
      <c r="B53" s="18" t="s">
        <v>15</v>
      </c>
      <c r="C53" s="18" t="s">
        <v>15</v>
      </c>
      <c r="D53" s="18" t="s">
        <v>44</v>
      </c>
      <c r="E53" s="18" t="s">
        <v>15</v>
      </c>
      <c r="F53" s="18" t="s">
        <v>15</v>
      </c>
      <c r="G53" s="18" t="s">
        <v>2936</v>
      </c>
      <c r="H53" s="18" t="s">
        <v>2968</v>
      </c>
      <c r="I53" s="18" t="s">
        <v>15</v>
      </c>
      <c r="J53" s="18" t="s">
        <v>2969</v>
      </c>
      <c r="K53" s="18" t="s">
        <v>15</v>
      </c>
      <c r="L53" s="18" t="s">
        <v>2970</v>
      </c>
      <c r="M53" s="18" t="s">
        <v>15</v>
      </c>
      <c r="N53" s="18" t="s">
        <v>15</v>
      </c>
      <c r="O53" s="18" t="s">
        <v>15</v>
      </c>
      <c r="P53" s="18" t="s">
        <v>15</v>
      </c>
      <c r="Q53" s="18" t="s">
        <v>15</v>
      </c>
      <c r="R53" s="18" t="s">
        <v>15</v>
      </c>
      <c r="S53" s="18" t="s">
        <v>15</v>
      </c>
    </row>
    <row r="54" spans="1:19" x14ac:dyDescent="0.25">
      <c r="A54" s="17">
        <v>53</v>
      </c>
      <c r="B54" s="18" t="s">
        <v>15</v>
      </c>
      <c r="C54" s="18" t="s">
        <v>15</v>
      </c>
      <c r="D54" s="18" t="s">
        <v>44</v>
      </c>
      <c r="E54" s="18" t="s">
        <v>15</v>
      </c>
      <c r="F54" s="18" t="s">
        <v>15</v>
      </c>
      <c r="G54" s="18" t="s">
        <v>15</v>
      </c>
      <c r="H54" s="18" t="s">
        <v>2971</v>
      </c>
      <c r="I54" s="18" t="s">
        <v>15</v>
      </c>
      <c r="J54" s="18" t="s">
        <v>2972</v>
      </c>
      <c r="K54" s="18" t="s">
        <v>2837</v>
      </c>
      <c r="L54" s="18" t="s">
        <v>2973</v>
      </c>
      <c r="M54" s="18" t="s">
        <v>15</v>
      </c>
      <c r="N54" s="18" t="s">
        <v>15</v>
      </c>
      <c r="O54" s="18" t="s">
        <v>15</v>
      </c>
      <c r="P54" s="18" t="s">
        <v>15</v>
      </c>
      <c r="Q54" s="18" t="s">
        <v>15</v>
      </c>
      <c r="R54" s="18" t="s">
        <v>15</v>
      </c>
      <c r="S54" s="18" t="s">
        <v>15</v>
      </c>
    </row>
    <row r="55" spans="1:19" x14ac:dyDescent="0.25">
      <c r="A55" s="17">
        <v>54</v>
      </c>
      <c r="B55" s="18" t="s">
        <v>15</v>
      </c>
      <c r="C55" s="18" t="s">
        <v>2935</v>
      </c>
      <c r="D55" s="18" t="s">
        <v>44</v>
      </c>
      <c r="E55" s="18" t="s">
        <v>15</v>
      </c>
      <c r="F55" s="18" t="s">
        <v>15</v>
      </c>
      <c r="G55" s="18" t="s">
        <v>15</v>
      </c>
      <c r="H55" s="18" t="s">
        <v>2974</v>
      </c>
      <c r="I55" s="18" t="s">
        <v>47</v>
      </c>
      <c r="J55" s="18" t="s">
        <v>2889</v>
      </c>
      <c r="K55" s="18" t="s">
        <v>15</v>
      </c>
      <c r="L55" s="18" t="s">
        <v>2975</v>
      </c>
      <c r="M55" s="18" t="s">
        <v>15</v>
      </c>
      <c r="N55" s="18" t="s">
        <v>15</v>
      </c>
      <c r="O55" s="18" t="s">
        <v>15</v>
      </c>
      <c r="P55" s="18" t="s">
        <v>15</v>
      </c>
      <c r="Q55" s="18" t="s">
        <v>15</v>
      </c>
      <c r="R55" s="18" t="s">
        <v>15</v>
      </c>
      <c r="S55" s="18" t="s">
        <v>15</v>
      </c>
    </row>
    <row r="56" spans="1:19" x14ac:dyDescent="0.25">
      <c r="A56" s="17">
        <v>55</v>
      </c>
      <c r="B56" s="18" t="s">
        <v>15</v>
      </c>
      <c r="C56" s="18" t="s">
        <v>2939</v>
      </c>
      <c r="D56" s="18" t="s">
        <v>44</v>
      </c>
      <c r="E56" s="18" t="s">
        <v>15</v>
      </c>
      <c r="F56" s="18" t="s">
        <v>15</v>
      </c>
      <c r="G56" s="18" t="s">
        <v>45</v>
      </c>
      <c r="H56" s="18" t="s">
        <v>2976</v>
      </c>
      <c r="I56" s="18" t="s">
        <v>74</v>
      </c>
      <c r="J56" s="18" t="s">
        <v>2977</v>
      </c>
      <c r="K56" s="18" t="s">
        <v>2837</v>
      </c>
      <c r="L56" s="18" t="s">
        <v>2978</v>
      </c>
      <c r="M56" s="18" t="s">
        <v>15</v>
      </c>
      <c r="N56" s="18" t="s">
        <v>15</v>
      </c>
      <c r="O56" s="18" t="s">
        <v>15</v>
      </c>
      <c r="P56" s="18" t="s">
        <v>15</v>
      </c>
      <c r="Q56" s="18" t="s">
        <v>15</v>
      </c>
      <c r="R56" s="18" t="s">
        <v>15</v>
      </c>
      <c r="S56" s="18" t="s">
        <v>15</v>
      </c>
    </row>
    <row r="57" spans="1:19" x14ac:dyDescent="0.25">
      <c r="A57" s="17">
        <v>56</v>
      </c>
      <c r="B57" s="18" t="s">
        <v>15</v>
      </c>
      <c r="C57" s="18" t="s">
        <v>2939</v>
      </c>
      <c r="D57" s="18" t="s">
        <v>44</v>
      </c>
      <c r="E57" s="18" t="s">
        <v>15</v>
      </c>
      <c r="F57" s="18" t="s">
        <v>15</v>
      </c>
      <c r="G57" s="18" t="s">
        <v>2936</v>
      </c>
      <c r="H57" s="18" t="s">
        <v>2979</v>
      </c>
      <c r="I57" s="18" t="s">
        <v>74</v>
      </c>
      <c r="J57" s="18" t="s">
        <v>2956</v>
      </c>
      <c r="K57" s="18" t="s">
        <v>2837</v>
      </c>
      <c r="L57" s="18" t="s">
        <v>2980</v>
      </c>
      <c r="M57" s="18" t="s">
        <v>15</v>
      </c>
      <c r="N57" s="18" t="s">
        <v>15</v>
      </c>
      <c r="O57" s="18" t="s">
        <v>15</v>
      </c>
      <c r="P57" s="18" t="s">
        <v>15</v>
      </c>
      <c r="Q57" s="18" t="s">
        <v>15</v>
      </c>
      <c r="R57" s="18" t="s">
        <v>15</v>
      </c>
      <c r="S57" s="18" t="s">
        <v>15</v>
      </c>
    </row>
    <row r="58" spans="1:19" x14ac:dyDescent="0.25">
      <c r="A58" s="17">
        <v>57</v>
      </c>
      <c r="B58" s="18" t="s">
        <v>15</v>
      </c>
      <c r="C58" s="18" t="s">
        <v>2935</v>
      </c>
      <c r="D58" s="18" t="s">
        <v>44</v>
      </c>
      <c r="E58" s="18" t="s">
        <v>15</v>
      </c>
      <c r="F58" s="18" t="s">
        <v>15</v>
      </c>
      <c r="G58" s="18" t="s">
        <v>2936</v>
      </c>
      <c r="H58" s="18" t="s">
        <v>2981</v>
      </c>
      <c r="I58" s="18" t="s">
        <v>47</v>
      </c>
      <c r="J58" s="18" t="s">
        <v>2956</v>
      </c>
      <c r="K58" s="18" t="s">
        <v>2837</v>
      </c>
      <c r="L58" s="18" t="s">
        <v>2982</v>
      </c>
      <c r="M58" s="18" t="s">
        <v>15</v>
      </c>
      <c r="N58" s="18" t="s">
        <v>15</v>
      </c>
      <c r="O58" s="18" t="s">
        <v>15</v>
      </c>
      <c r="P58" s="18" t="s">
        <v>15</v>
      </c>
      <c r="Q58" s="18" t="s">
        <v>15</v>
      </c>
      <c r="R58" s="18" t="s">
        <v>15</v>
      </c>
      <c r="S58" s="18" t="s">
        <v>15</v>
      </c>
    </row>
    <row r="59" spans="1:19" x14ac:dyDescent="0.25">
      <c r="A59" s="17">
        <v>58</v>
      </c>
      <c r="B59" s="18" t="s">
        <v>15</v>
      </c>
      <c r="C59" s="18" t="s">
        <v>2939</v>
      </c>
      <c r="D59" s="18" t="s">
        <v>44</v>
      </c>
      <c r="E59" s="18" t="s">
        <v>15</v>
      </c>
      <c r="F59" s="18" t="s">
        <v>15</v>
      </c>
      <c r="G59" s="18" t="s">
        <v>22</v>
      </c>
      <c r="H59" s="18" t="s">
        <v>2983</v>
      </c>
      <c r="I59" s="18" t="s">
        <v>74</v>
      </c>
      <c r="J59" s="18" t="s">
        <v>2984</v>
      </c>
      <c r="K59" s="18" t="s">
        <v>2943</v>
      </c>
      <c r="L59" s="18" t="s">
        <v>2985</v>
      </c>
      <c r="M59" s="18" t="s">
        <v>15</v>
      </c>
      <c r="N59" s="18" t="s">
        <v>15</v>
      </c>
      <c r="O59" s="18" t="s">
        <v>15</v>
      </c>
      <c r="P59" s="18" t="s">
        <v>15</v>
      </c>
      <c r="Q59" s="18" t="s">
        <v>15</v>
      </c>
      <c r="R59" s="18" t="s">
        <v>15</v>
      </c>
      <c r="S59" s="18" t="s">
        <v>15</v>
      </c>
    </row>
    <row r="60" spans="1:19" x14ac:dyDescent="0.25">
      <c r="A60" s="17">
        <v>59</v>
      </c>
      <c r="B60" s="18" t="s">
        <v>15</v>
      </c>
      <c r="C60" s="18" t="s">
        <v>2939</v>
      </c>
      <c r="D60" s="18" t="s">
        <v>44</v>
      </c>
      <c r="E60" s="18" t="s">
        <v>15</v>
      </c>
      <c r="F60" s="18" t="s">
        <v>15</v>
      </c>
      <c r="G60" s="18" t="s">
        <v>2986</v>
      </c>
      <c r="H60" s="18" t="s">
        <v>2987</v>
      </c>
      <c r="I60" s="18" t="s">
        <v>74</v>
      </c>
      <c r="J60" s="18" t="s">
        <v>2988</v>
      </c>
      <c r="K60" s="18" t="s">
        <v>15</v>
      </c>
      <c r="L60" s="18" t="s">
        <v>2989</v>
      </c>
      <c r="M60" s="18" t="s">
        <v>15</v>
      </c>
      <c r="N60" s="18" t="s">
        <v>15</v>
      </c>
      <c r="O60" s="18" t="s">
        <v>15</v>
      </c>
      <c r="P60" s="18" t="s">
        <v>15</v>
      </c>
      <c r="Q60" s="18" t="s">
        <v>15</v>
      </c>
      <c r="R60" s="18" t="s">
        <v>15</v>
      </c>
      <c r="S60" s="18" t="s">
        <v>15</v>
      </c>
    </row>
    <row r="61" spans="1:19" x14ac:dyDescent="0.25">
      <c r="A61" s="17">
        <v>60</v>
      </c>
      <c r="B61" s="18" t="s">
        <v>15</v>
      </c>
      <c r="C61" s="18" t="s">
        <v>2939</v>
      </c>
      <c r="D61" s="18" t="s">
        <v>44</v>
      </c>
      <c r="E61" s="18" t="s">
        <v>15</v>
      </c>
      <c r="F61" s="18" t="s">
        <v>15</v>
      </c>
      <c r="G61" s="18" t="s">
        <v>2936</v>
      </c>
      <c r="H61" s="18" t="s">
        <v>2990</v>
      </c>
      <c r="I61" s="18" t="s">
        <v>74</v>
      </c>
      <c r="J61" s="18" t="s">
        <v>2889</v>
      </c>
      <c r="K61" s="18" t="s">
        <v>15</v>
      </c>
      <c r="L61" s="18" t="s">
        <v>2991</v>
      </c>
      <c r="M61" s="18" t="s">
        <v>15</v>
      </c>
      <c r="N61" s="18" t="s">
        <v>15</v>
      </c>
      <c r="O61" s="18" t="s">
        <v>15</v>
      </c>
      <c r="P61" s="18" t="s">
        <v>15</v>
      </c>
      <c r="Q61" s="18" t="s">
        <v>15</v>
      </c>
      <c r="R61" s="18" t="s">
        <v>15</v>
      </c>
      <c r="S61" s="18" t="s">
        <v>15</v>
      </c>
    </row>
    <row r="62" spans="1:19" x14ac:dyDescent="0.25">
      <c r="A62" s="17">
        <v>61</v>
      </c>
      <c r="B62" s="18" t="s">
        <v>15</v>
      </c>
      <c r="C62" s="18" t="s">
        <v>15</v>
      </c>
      <c r="D62" s="18" t="s">
        <v>44</v>
      </c>
      <c r="E62" s="18" t="s">
        <v>15</v>
      </c>
      <c r="F62" s="18" t="s">
        <v>15</v>
      </c>
      <c r="G62" s="18" t="s">
        <v>2936</v>
      </c>
      <c r="H62" s="18" t="s">
        <v>2992</v>
      </c>
      <c r="I62" s="18" t="s">
        <v>15</v>
      </c>
      <c r="J62" s="18" t="s">
        <v>2843</v>
      </c>
      <c r="K62" s="18" t="s">
        <v>15</v>
      </c>
      <c r="L62" s="18" t="s">
        <v>2993</v>
      </c>
      <c r="M62" s="18" t="s">
        <v>15</v>
      </c>
      <c r="N62" s="18" t="s">
        <v>15</v>
      </c>
      <c r="O62" s="18" t="s">
        <v>15</v>
      </c>
      <c r="P62" s="18" t="s">
        <v>15</v>
      </c>
      <c r="Q62" s="18" t="s">
        <v>15</v>
      </c>
      <c r="R62" s="18" t="s">
        <v>15</v>
      </c>
      <c r="S62" s="18" t="s">
        <v>15</v>
      </c>
    </row>
    <row r="63" spans="1:19" x14ac:dyDescent="0.25">
      <c r="A63" s="17">
        <v>62</v>
      </c>
      <c r="B63" s="18" t="s">
        <v>15</v>
      </c>
      <c r="C63" s="18" t="s">
        <v>15</v>
      </c>
      <c r="D63" s="18" t="s">
        <v>44</v>
      </c>
      <c r="E63" s="18" t="s">
        <v>15</v>
      </c>
      <c r="F63" s="18" t="s">
        <v>15</v>
      </c>
      <c r="G63" s="18" t="s">
        <v>274</v>
      </c>
      <c r="H63" s="18" t="s">
        <v>2994</v>
      </c>
      <c r="I63" s="18" t="s">
        <v>15</v>
      </c>
      <c r="J63" s="18" t="s">
        <v>2995</v>
      </c>
      <c r="K63" s="18" t="s">
        <v>15</v>
      </c>
      <c r="L63" s="18" t="s">
        <v>2996</v>
      </c>
      <c r="M63" s="18" t="s">
        <v>15</v>
      </c>
      <c r="N63" s="18" t="s">
        <v>15</v>
      </c>
      <c r="O63" s="18" t="s">
        <v>15</v>
      </c>
      <c r="P63" s="18" t="s">
        <v>15</v>
      </c>
      <c r="Q63" s="18" t="s">
        <v>15</v>
      </c>
      <c r="R63" s="18" t="s">
        <v>15</v>
      </c>
      <c r="S63" s="18" t="s">
        <v>15</v>
      </c>
    </row>
    <row r="64" spans="1:19" x14ac:dyDescent="0.25">
      <c r="A64" s="17">
        <v>63</v>
      </c>
      <c r="B64" s="18" t="s">
        <v>15</v>
      </c>
      <c r="C64" s="18" t="s">
        <v>15</v>
      </c>
      <c r="D64" s="18" t="s">
        <v>44</v>
      </c>
      <c r="E64" s="18" t="s">
        <v>15</v>
      </c>
      <c r="F64" s="18" t="s">
        <v>15</v>
      </c>
      <c r="G64" s="18" t="s">
        <v>274</v>
      </c>
      <c r="H64" s="18" t="s">
        <v>2997</v>
      </c>
      <c r="I64" s="18" t="s">
        <v>15</v>
      </c>
      <c r="J64" s="18" t="s">
        <v>2998</v>
      </c>
      <c r="K64" s="18" t="s">
        <v>15</v>
      </c>
      <c r="L64" s="18" t="s">
        <v>2999</v>
      </c>
      <c r="M64" s="18" t="s">
        <v>15</v>
      </c>
      <c r="N64" s="18" t="s">
        <v>15</v>
      </c>
      <c r="O64" s="18" t="s">
        <v>15</v>
      </c>
      <c r="P64" s="18" t="s">
        <v>15</v>
      </c>
      <c r="Q64" s="18" t="s">
        <v>15</v>
      </c>
      <c r="R64" s="18" t="s">
        <v>15</v>
      </c>
      <c r="S64" s="18" t="s">
        <v>15</v>
      </c>
    </row>
    <row r="65" spans="1:19" x14ac:dyDescent="0.25">
      <c r="A65" s="17">
        <v>64</v>
      </c>
      <c r="B65" s="18" t="s">
        <v>15</v>
      </c>
      <c r="C65" s="18" t="s">
        <v>15</v>
      </c>
      <c r="D65" s="18" t="s">
        <v>44</v>
      </c>
      <c r="E65" s="18" t="s">
        <v>15</v>
      </c>
      <c r="F65" s="18" t="s">
        <v>15</v>
      </c>
      <c r="G65" s="18" t="s">
        <v>3000</v>
      </c>
      <c r="H65" s="18" t="s">
        <v>3001</v>
      </c>
      <c r="I65" s="18" t="s">
        <v>15</v>
      </c>
      <c r="J65" s="18" t="s">
        <v>3002</v>
      </c>
      <c r="K65" s="18" t="s">
        <v>15</v>
      </c>
      <c r="L65" s="18" t="s">
        <v>3003</v>
      </c>
      <c r="M65" s="18" t="s">
        <v>15</v>
      </c>
      <c r="N65" s="18" t="s">
        <v>15</v>
      </c>
      <c r="O65" s="18" t="s">
        <v>15</v>
      </c>
      <c r="P65" s="18" t="s">
        <v>15</v>
      </c>
      <c r="Q65" s="18" t="s">
        <v>15</v>
      </c>
      <c r="R65" s="18" t="s">
        <v>15</v>
      </c>
      <c r="S65" s="18" t="s">
        <v>15</v>
      </c>
    </row>
    <row r="66" spans="1:19" x14ac:dyDescent="0.25">
      <c r="A66" s="17">
        <v>65</v>
      </c>
      <c r="B66" s="18" t="s">
        <v>15</v>
      </c>
      <c r="C66" s="18" t="s">
        <v>15</v>
      </c>
      <c r="D66" s="18" t="s">
        <v>15</v>
      </c>
      <c r="E66" s="18" t="s">
        <v>15</v>
      </c>
      <c r="F66" s="18" t="s">
        <v>15</v>
      </c>
      <c r="G66" s="18" t="s">
        <v>2936</v>
      </c>
      <c r="H66" s="18" t="s">
        <v>3004</v>
      </c>
      <c r="I66" s="18" t="s">
        <v>15</v>
      </c>
      <c r="J66" s="18" t="s">
        <v>2889</v>
      </c>
      <c r="K66" s="18" t="s">
        <v>15</v>
      </c>
      <c r="L66" s="18" t="s">
        <v>3005</v>
      </c>
      <c r="M66" s="18" t="s">
        <v>15</v>
      </c>
      <c r="N66" s="18" t="s">
        <v>15</v>
      </c>
      <c r="O66" s="18" t="s">
        <v>15</v>
      </c>
      <c r="P66" s="18" t="s">
        <v>15</v>
      </c>
      <c r="Q66" s="18" t="s">
        <v>15</v>
      </c>
      <c r="R66" s="18" t="s">
        <v>15</v>
      </c>
      <c r="S66" s="18" t="s">
        <v>15</v>
      </c>
    </row>
    <row r="67" spans="1:19" x14ac:dyDescent="0.25">
      <c r="A67" s="17">
        <v>66</v>
      </c>
      <c r="B67" s="18" t="s">
        <v>15</v>
      </c>
      <c r="C67" s="18" t="s">
        <v>15</v>
      </c>
      <c r="D67" s="18" t="s">
        <v>15</v>
      </c>
      <c r="E67" s="18" t="s">
        <v>15</v>
      </c>
      <c r="F67" s="18" t="s">
        <v>15</v>
      </c>
      <c r="G67" s="18" t="s">
        <v>22</v>
      </c>
      <c r="H67" s="18" t="s">
        <v>3006</v>
      </c>
      <c r="I67" s="18" t="s">
        <v>15</v>
      </c>
      <c r="J67" s="18" t="s">
        <v>3007</v>
      </c>
      <c r="K67" s="18" t="s">
        <v>2943</v>
      </c>
      <c r="L67" s="18" t="s">
        <v>3008</v>
      </c>
      <c r="M67" s="18" t="s">
        <v>15</v>
      </c>
      <c r="N67" s="18" t="s">
        <v>15</v>
      </c>
      <c r="O67" s="18" t="s">
        <v>15</v>
      </c>
      <c r="P67" s="18" t="s">
        <v>15</v>
      </c>
      <c r="Q67" s="18" t="s">
        <v>15</v>
      </c>
      <c r="R67" s="18" t="s">
        <v>15</v>
      </c>
      <c r="S67" s="18" t="s">
        <v>15</v>
      </c>
    </row>
    <row r="68" spans="1:19" x14ac:dyDescent="0.25">
      <c r="A68" s="17">
        <v>67</v>
      </c>
      <c r="B68" s="18" t="s">
        <v>15</v>
      </c>
      <c r="C68" s="18" t="s">
        <v>15</v>
      </c>
      <c r="D68" s="18" t="s">
        <v>15</v>
      </c>
      <c r="E68" s="18" t="s">
        <v>15</v>
      </c>
      <c r="F68" s="18" t="s">
        <v>15</v>
      </c>
      <c r="G68" s="18" t="s">
        <v>45</v>
      </c>
      <c r="H68" s="18" t="s">
        <v>3009</v>
      </c>
      <c r="I68" s="18" t="s">
        <v>15</v>
      </c>
      <c r="J68" s="18" t="s">
        <v>15</v>
      </c>
      <c r="K68" s="18" t="s">
        <v>15</v>
      </c>
      <c r="L68" s="18" t="s">
        <v>3010</v>
      </c>
      <c r="M68" s="18" t="s">
        <v>15</v>
      </c>
      <c r="N68" s="18" t="s">
        <v>15</v>
      </c>
      <c r="O68" s="18" t="s">
        <v>15</v>
      </c>
      <c r="P68" s="18" t="s">
        <v>15</v>
      </c>
      <c r="Q68" s="18" t="s">
        <v>15</v>
      </c>
      <c r="R68" s="18" t="s">
        <v>15</v>
      </c>
      <c r="S68" s="18" t="s">
        <v>15</v>
      </c>
    </row>
    <row r="69" spans="1:19" x14ac:dyDescent="0.25">
      <c r="A69" s="17">
        <v>68</v>
      </c>
      <c r="B69" s="18" t="s">
        <v>15</v>
      </c>
      <c r="C69" s="18" t="s">
        <v>15</v>
      </c>
      <c r="D69" s="18" t="s">
        <v>15</v>
      </c>
      <c r="E69" s="18" t="s">
        <v>15</v>
      </c>
      <c r="F69" s="18" t="s">
        <v>15</v>
      </c>
      <c r="G69" s="18" t="s">
        <v>2936</v>
      </c>
      <c r="H69" s="18" t="s">
        <v>3011</v>
      </c>
      <c r="I69" s="18" t="s">
        <v>15</v>
      </c>
      <c r="J69" s="18" t="s">
        <v>3012</v>
      </c>
      <c r="K69" s="18" t="s">
        <v>15</v>
      </c>
      <c r="L69" s="18" t="s">
        <v>3013</v>
      </c>
      <c r="M69" s="18" t="s">
        <v>15</v>
      </c>
      <c r="N69" s="18" t="s">
        <v>15</v>
      </c>
      <c r="O69" s="18" t="s">
        <v>15</v>
      </c>
      <c r="P69" s="18" t="s">
        <v>15</v>
      </c>
      <c r="Q69" s="18" t="s">
        <v>15</v>
      </c>
      <c r="R69" s="18" t="s">
        <v>15</v>
      </c>
      <c r="S69" s="18" t="s">
        <v>15</v>
      </c>
    </row>
    <row r="70" spans="1:19" x14ac:dyDescent="0.25">
      <c r="A70" s="17">
        <v>69</v>
      </c>
      <c r="B70" s="18" t="s">
        <v>15</v>
      </c>
      <c r="C70" s="18" t="s">
        <v>15</v>
      </c>
      <c r="D70" s="18" t="s">
        <v>15</v>
      </c>
      <c r="E70" s="18" t="s">
        <v>15</v>
      </c>
      <c r="F70" s="18" t="s">
        <v>15</v>
      </c>
      <c r="G70" s="18" t="s">
        <v>2936</v>
      </c>
      <c r="H70" s="18" t="s">
        <v>3014</v>
      </c>
      <c r="I70" s="18" t="s">
        <v>15</v>
      </c>
      <c r="J70" s="18" t="s">
        <v>2843</v>
      </c>
      <c r="K70" s="18" t="s">
        <v>15</v>
      </c>
      <c r="L70" s="18" t="s">
        <v>3015</v>
      </c>
      <c r="M70" s="18" t="s">
        <v>15</v>
      </c>
      <c r="N70" s="18" t="s">
        <v>15</v>
      </c>
      <c r="O70" s="18" t="s">
        <v>15</v>
      </c>
      <c r="P70" s="18" t="s">
        <v>15</v>
      </c>
      <c r="Q70" s="18" t="s">
        <v>15</v>
      </c>
      <c r="R70" s="18" t="s">
        <v>15</v>
      </c>
      <c r="S70" s="18" t="s">
        <v>15</v>
      </c>
    </row>
    <row r="71" spans="1:19" x14ac:dyDescent="0.25">
      <c r="A71" s="17">
        <v>70</v>
      </c>
      <c r="B71" s="18" t="s">
        <v>15</v>
      </c>
      <c r="C71" s="18" t="s">
        <v>15</v>
      </c>
      <c r="D71" s="18" t="s">
        <v>15</v>
      </c>
      <c r="E71" s="18" t="s">
        <v>15</v>
      </c>
      <c r="F71" s="18" t="s">
        <v>15</v>
      </c>
      <c r="G71" s="18" t="s">
        <v>2936</v>
      </c>
      <c r="H71" s="18" t="s">
        <v>2992</v>
      </c>
      <c r="I71" s="18" t="s">
        <v>15</v>
      </c>
      <c r="J71" s="18" t="s">
        <v>2843</v>
      </c>
      <c r="K71" s="18" t="s">
        <v>15</v>
      </c>
      <c r="L71" s="18" t="s">
        <v>3016</v>
      </c>
      <c r="M71" s="18" t="s">
        <v>15</v>
      </c>
      <c r="N71" s="18" t="s">
        <v>15</v>
      </c>
      <c r="O71" s="18" t="s">
        <v>15</v>
      </c>
      <c r="P71" s="18" t="s">
        <v>15</v>
      </c>
      <c r="Q71" s="18" t="s">
        <v>15</v>
      </c>
      <c r="R71" s="18" t="s">
        <v>15</v>
      </c>
      <c r="S71" s="18" t="s">
        <v>15</v>
      </c>
    </row>
    <row r="72" spans="1:19" x14ac:dyDescent="0.25">
      <c r="A72" s="17">
        <v>71</v>
      </c>
      <c r="B72" s="18" t="s">
        <v>15</v>
      </c>
      <c r="C72" s="18" t="s">
        <v>15</v>
      </c>
      <c r="D72" s="18" t="s">
        <v>15</v>
      </c>
      <c r="E72" s="18" t="s">
        <v>15</v>
      </c>
      <c r="F72" s="18" t="s">
        <v>15</v>
      </c>
      <c r="G72" s="18" t="s">
        <v>3017</v>
      </c>
      <c r="H72" s="18" t="s">
        <v>3018</v>
      </c>
      <c r="I72" s="18" t="s">
        <v>15</v>
      </c>
      <c r="J72" s="18" t="s">
        <v>3019</v>
      </c>
      <c r="K72" s="18" t="s">
        <v>15</v>
      </c>
      <c r="L72" s="18" t="s">
        <v>3020</v>
      </c>
      <c r="M72" s="18" t="s">
        <v>15</v>
      </c>
      <c r="N72" s="18" t="s">
        <v>15</v>
      </c>
      <c r="O72" s="18" t="s">
        <v>15</v>
      </c>
      <c r="P72" s="18" t="s">
        <v>15</v>
      </c>
      <c r="Q72" s="18" t="s">
        <v>15</v>
      </c>
      <c r="R72" s="18" t="s">
        <v>15</v>
      </c>
      <c r="S72" s="18" t="s">
        <v>15</v>
      </c>
    </row>
    <row r="73" spans="1:19" x14ac:dyDescent="0.25">
      <c r="A73" s="17">
        <v>72</v>
      </c>
      <c r="B73" s="18" t="s">
        <v>15</v>
      </c>
      <c r="C73" s="18" t="s">
        <v>15</v>
      </c>
      <c r="D73" s="18" t="s">
        <v>15</v>
      </c>
      <c r="E73" s="18" t="s">
        <v>15</v>
      </c>
      <c r="F73" s="18" t="s">
        <v>15</v>
      </c>
      <c r="G73" s="18" t="s">
        <v>15</v>
      </c>
      <c r="H73" s="18" t="s">
        <v>3021</v>
      </c>
      <c r="I73" s="18" t="s">
        <v>15</v>
      </c>
      <c r="J73" s="18" t="s">
        <v>3022</v>
      </c>
      <c r="K73" s="18" t="s">
        <v>2837</v>
      </c>
      <c r="L73" s="18" t="s">
        <v>3023</v>
      </c>
      <c r="M73" s="18" t="s">
        <v>15</v>
      </c>
      <c r="N73" s="18" t="s">
        <v>15</v>
      </c>
      <c r="O73" s="18" t="s">
        <v>15</v>
      </c>
      <c r="P73" s="18" t="s">
        <v>15</v>
      </c>
      <c r="Q73" s="18" t="s">
        <v>15</v>
      </c>
      <c r="R73" s="18" t="s">
        <v>15</v>
      </c>
      <c r="S73" s="18" t="s">
        <v>15</v>
      </c>
    </row>
    <row r="74" spans="1:19" x14ac:dyDescent="0.25">
      <c r="A74" s="17">
        <v>73</v>
      </c>
      <c r="B74" s="18" t="s">
        <v>15</v>
      </c>
      <c r="C74" s="18" t="s">
        <v>15</v>
      </c>
      <c r="D74" s="18" t="s">
        <v>15</v>
      </c>
      <c r="E74" s="18" t="s">
        <v>15</v>
      </c>
      <c r="F74" s="18" t="s">
        <v>15</v>
      </c>
      <c r="G74" s="18" t="s">
        <v>2936</v>
      </c>
      <c r="H74" s="18" t="s">
        <v>3024</v>
      </c>
      <c r="I74" s="18" t="s">
        <v>15</v>
      </c>
      <c r="J74" s="18" t="s">
        <v>3025</v>
      </c>
      <c r="K74" s="18" t="s">
        <v>15</v>
      </c>
      <c r="L74" s="18" t="s">
        <v>3026</v>
      </c>
      <c r="M74" s="18" t="s">
        <v>15</v>
      </c>
      <c r="N74" s="18" t="s">
        <v>15</v>
      </c>
      <c r="O74" s="18" t="s">
        <v>15</v>
      </c>
      <c r="P74" s="18" t="s">
        <v>15</v>
      </c>
      <c r="Q74" s="18" t="s">
        <v>15</v>
      </c>
      <c r="R74" s="18" t="s">
        <v>15</v>
      </c>
      <c r="S74" s="18" t="s">
        <v>15</v>
      </c>
    </row>
    <row r="75" spans="1:19" x14ac:dyDescent="0.25">
      <c r="A75" s="17">
        <v>74</v>
      </c>
      <c r="B75" s="18" t="s">
        <v>3027</v>
      </c>
      <c r="C75" s="18" t="s">
        <v>15</v>
      </c>
      <c r="D75" s="18" t="s">
        <v>15</v>
      </c>
      <c r="E75" s="18" t="s">
        <v>15</v>
      </c>
      <c r="F75" s="18" t="s">
        <v>15</v>
      </c>
      <c r="G75" s="18" t="s">
        <v>22</v>
      </c>
      <c r="H75" s="18" t="s">
        <v>15</v>
      </c>
      <c r="I75" s="18" t="s">
        <v>89</v>
      </c>
      <c r="J75" s="18" t="s">
        <v>3028</v>
      </c>
      <c r="K75" s="18" t="s">
        <v>15</v>
      </c>
      <c r="L75" s="18" t="s">
        <v>3029</v>
      </c>
      <c r="M75" s="18" t="s">
        <v>15</v>
      </c>
      <c r="N75" s="18" t="s">
        <v>15</v>
      </c>
      <c r="O75" s="18" t="s">
        <v>15</v>
      </c>
      <c r="P75" s="18" t="s">
        <v>15</v>
      </c>
      <c r="Q75" s="18" t="s">
        <v>15</v>
      </c>
      <c r="R75" s="18" t="s">
        <v>15</v>
      </c>
      <c r="S75" s="18" t="s">
        <v>15</v>
      </c>
    </row>
    <row r="76" spans="1:19" x14ac:dyDescent="0.25">
      <c r="A76" s="17">
        <v>75</v>
      </c>
      <c r="B76" s="18" t="s">
        <v>3030</v>
      </c>
      <c r="C76" s="18" t="s">
        <v>15</v>
      </c>
      <c r="D76" s="18" t="s">
        <v>15</v>
      </c>
      <c r="E76" s="18" t="s">
        <v>15</v>
      </c>
      <c r="F76" s="18" t="s">
        <v>15</v>
      </c>
      <c r="G76" s="18" t="s">
        <v>22</v>
      </c>
      <c r="H76" s="18" t="s">
        <v>15</v>
      </c>
      <c r="I76" s="18" t="s">
        <v>89</v>
      </c>
      <c r="J76" s="18" t="s">
        <v>3031</v>
      </c>
      <c r="K76" s="18" t="s">
        <v>15</v>
      </c>
      <c r="L76" s="18" t="s">
        <v>3032</v>
      </c>
      <c r="M76" s="18" t="s">
        <v>15</v>
      </c>
      <c r="N76" s="18" t="s">
        <v>15</v>
      </c>
      <c r="O76" s="18" t="s">
        <v>15</v>
      </c>
      <c r="P76" s="18" t="s">
        <v>15</v>
      </c>
      <c r="Q76" s="18" t="s">
        <v>15</v>
      </c>
      <c r="R76" s="18" t="s">
        <v>15</v>
      </c>
      <c r="S76" s="18" t="s">
        <v>15</v>
      </c>
    </row>
    <row r="77" spans="1:19" x14ac:dyDescent="0.25">
      <c r="A77" s="17">
        <v>76</v>
      </c>
      <c r="B77" s="18" t="s">
        <v>3033</v>
      </c>
      <c r="C77" s="18" t="s">
        <v>15</v>
      </c>
      <c r="D77" s="18" t="s">
        <v>15</v>
      </c>
      <c r="E77" s="18" t="s">
        <v>15</v>
      </c>
      <c r="F77" s="18" t="s">
        <v>15</v>
      </c>
      <c r="G77" s="18" t="s">
        <v>22</v>
      </c>
      <c r="H77" s="18" t="s">
        <v>15</v>
      </c>
      <c r="I77" s="18" t="s">
        <v>89</v>
      </c>
      <c r="J77" s="18" t="s">
        <v>3034</v>
      </c>
      <c r="K77" s="18" t="s">
        <v>15</v>
      </c>
      <c r="L77" s="18" t="s">
        <v>3035</v>
      </c>
      <c r="M77" s="18" t="s">
        <v>15</v>
      </c>
      <c r="N77" s="18" t="s">
        <v>15</v>
      </c>
      <c r="O77" s="18" t="s">
        <v>15</v>
      </c>
      <c r="P77" s="18" t="s">
        <v>15</v>
      </c>
      <c r="Q77" s="18" t="s">
        <v>15</v>
      </c>
      <c r="R77" s="18" t="s">
        <v>15</v>
      </c>
      <c r="S77" s="18" t="s">
        <v>15</v>
      </c>
    </row>
    <row r="78" spans="1:19" x14ac:dyDescent="0.25">
      <c r="A78" s="17">
        <v>77</v>
      </c>
      <c r="B78" s="18" t="s">
        <v>15</v>
      </c>
      <c r="C78" s="18" t="s">
        <v>15</v>
      </c>
      <c r="D78" s="18" t="s">
        <v>15</v>
      </c>
      <c r="E78" s="18" t="s">
        <v>15</v>
      </c>
      <c r="F78" s="18" t="s">
        <v>15</v>
      </c>
      <c r="G78" s="18" t="s">
        <v>15</v>
      </c>
      <c r="H78" s="18" t="s">
        <v>15</v>
      </c>
      <c r="I78" s="18" t="s">
        <v>47</v>
      </c>
      <c r="J78" s="18" t="s">
        <v>3036</v>
      </c>
      <c r="K78" s="18" t="s">
        <v>15</v>
      </c>
      <c r="L78" s="18" t="s">
        <v>3037</v>
      </c>
      <c r="M78" s="18" t="s">
        <v>15</v>
      </c>
      <c r="N78" s="18" t="s">
        <v>15</v>
      </c>
      <c r="O78" s="18" t="s">
        <v>15</v>
      </c>
      <c r="P78" s="18" t="s">
        <v>15</v>
      </c>
      <c r="Q78" s="18" t="s">
        <v>15</v>
      </c>
      <c r="R78" s="18" t="s">
        <v>15</v>
      </c>
      <c r="S78" s="18" t="s">
        <v>15</v>
      </c>
    </row>
    <row r="79" spans="1:19" x14ac:dyDescent="0.25">
      <c r="A79" s="17">
        <v>78</v>
      </c>
      <c r="B79" s="18" t="s">
        <v>15</v>
      </c>
      <c r="C79" s="18" t="s">
        <v>15</v>
      </c>
      <c r="D79" s="18" t="s">
        <v>15</v>
      </c>
      <c r="E79" s="18" t="s">
        <v>15</v>
      </c>
      <c r="F79" s="18" t="s">
        <v>15</v>
      </c>
      <c r="G79" s="18" t="s">
        <v>15</v>
      </c>
      <c r="H79" s="18" t="s">
        <v>15</v>
      </c>
      <c r="I79" s="18" t="s">
        <v>47</v>
      </c>
      <c r="J79" s="18" t="s">
        <v>3038</v>
      </c>
      <c r="K79" s="18" t="s">
        <v>15</v>
      </c>
      <c r="L79" s="18" t="s">
        <v>3039</v>
      </c>
      <c r="M79" s="18" t="s">
        <v>15</v>
      </c>
      <c r="N79" s="18" t="s">
        <v>15</v>
      </c>
      <c r="O79" s="18" t="s">
        <v>15</v>
      </c>
      <c r="P79" s="18" t="s">
        <v>15</v>
      </c>
      <c r="Q79" s="18" t="s">
        <v>15</v>
      </c>
      <c r="R79" s="18" t="s">
        <v>15</v>
      </c>
      <c r="S79" s="18" t="s">
        <v>15</v>
      </c>
    </row>
    <row r="80" spans="1:19" x14ac:dyDescent="0.25">
      <c r="A80" s="17">
        <v>79</v>
      </c>
      <c r="B80" s="18" t="s">
        <v>15</v>
      </c>
      <c r="C80" s="18" t="s">
        <v>15</v>
      </c>
      <c r="D80" s="18" t="s">
        <v>15</v>
      </c>
      <c r="E80" s="18" t="s">
        <v>15</v>
      </c>
      <c r="F80" s="18" t="s">
        <v>15</v>
      </c>
      <c r="G80" s="18" t="s">
        <v>15</v>
      </c>
      <c r="H80" s="18" t="s">
        <v>15</v>
      </c>
      <c r="I80" s="18" t="s">
        <v>47</v>
      </c>
      <c r="J80" s="18" t="s">
        <v>3040</v>
      </c>
      <c r="K80" s="18" t="s">
        <v>15</v>
      </c>
      <c r="L80" s="18" t="s">
        <v>3041</v>
      </c>
      <c r="M80" s="18" t="s">
        <v>15</v>
      </c>
      <c r="N80" s="18" t="s">
        <v>15</v>
      </c>
      <c r="O80" s="18" t="s">
        <v>15</v>
      </c>
      <c r="P80" s="18" t="s">
        <v>15</v>
      </c>
      <c r="Q80" s="18" t="s">
        <v>15</v>
      </c>
      <c r="R80" s="18" t="s">
        <v>15</v>
      </c>
      <c r="S80" s="18" t="s">
        <v>15</v>
      </c>
    </row>
    <row r="81" spans="1:19" x14ac:dyDescent="0.25">
      <c r="A81" s="17">
        <v>80</v>
      </c>
      <c r="B81" s="18" t="s">
        <v>15</v>
      </c>
      <c r="C81" s="18" t="s">
        <v>15</v>
      </c>
      <c r="D81" s="18" t="s">
        <v>15</v>
      </c>
      <c r="E81" s="18" t="s">
        <v>15</v>
      </c>
      <c r="F81" s="18" t="s">
        <v>15</v>
      </c>
      <c r="G81" s="18" t="s">
        <v>15</v>
      </c>
      <c r="H81" s="18" t="s">
        <v>15</v>
      </c>
      <c r="I81" s="18" t="s">
        <v>47</v>
      </c>
      <c r="J81" s="18" t="s">
        <v>2889</v>
      </c>
      <c r="K81" s="18" t="s">
        <v>15</v>
      </c>
      <c r="L81" s="18" t="s">
        <v>3042</v>
      </c>
      <c r="M81" s="18" t="s">
        <v>15</v>
      </c>
      <c r="N81" s="18" t="s">
        <v>15</v>
      </c>
      <c r="O81" s="18" t="s">
        <v>15</v>
      </c>
      <c r="P81" s="18" t="s">
        <v>15</v>
      </c>
      <c r="Q81" s="18" t="s">
        <v>15</v>
      </c>
      <c r="R81" s="18" t="s">
        <v>15</v>
      </c>
      <c r="S81" s="18" t="s">
        <v>15</v>
      </c>
    </row>
    <row r="82" spans="1:19" x14ac:dyDescent="0.25">
      <c r="A82" s="17">
        <v>81</v>
      </c>
      <c r="B82" s="18" t="s">
        <v>15</v>
      </c>
      <c r="C82" s="18" t="s">
        <v>15</v>
      </c>
      <c r="D82" s="18" t="s">
        <v>15</v>
      </c>
      <c r="E82" s="18" t="s">
        <v>15</v>
      </c>
      <c r="F82" s="18" t="s">
        <v>15</v>
      </c>
      <c r="G82" s="18" t="s">
        <v>15</v>
      </c>
      <c r="H82" s="18" t="s">
        <v>15</v>
      </c>
      <c r="I82" s="18" t="s">
        <v>15</v>
      </c>
      <c r="J82" s="18" t="s">
        <v>3043</v>
      </c>
      <c r="K82" s="18" t="s">
        <v>15</v>
      </c>
      <c r="L82" s="18" t="s">
        <v>15</v>
      </c>
      <c r="M82" s="18" t="s">
        <v>15</v>
      </c>
      <c r="N82" s="18" t="s">
        <v>15</v>
      </c>
      <c r="O82" s="18" t="s">
        <v>15</v>
      </c>
      <c r="P82" s="18" t="s">
        <v>15</v>
      </c>
      <c r="Q82" s="18" t="s">
        <v>15</v>
      </c>
      <c r="R82" s="18" t="s">
        <v>15</v>
      </c>
      <c r="S82" s="18" t="s">
        <v>15</v>
      </c>
    </row>
    <row r="83" spans="1:19" x14ac:dyDescent="0.25">
      <c r="A83" s="17">
        <v>82</v>
      </c>
      <c r="B83" s="18" t="s">
        <v>15</v>
      </c>
      <c r="C83" s="18" t="s">
        <v>15</v>
      </c>
      <c r="D83" s="18" t="s">
        <v>15</v>
      </c>
      <c r="E83" s="18" t="s">
        <v>15</v>
      </c>
      <c r="F83" s="18" t="s">
        <v>15</v>
      </c>
      <c r="G83" s="18" t="s">
        <v>15</v>
      </c>
      <c r="H83" s="18" t="s">
        <v>15</v>
      </c>
      <c r="I83" s="18" t="s">
        <v>15</v>
      </c>
      <c r="J83" s="18" t="s">
        <v>3044</v>
      </c>
      <c r="K83" s="18" t="s">
        <v>15</v>
      </c>
      <c r="L83" s="18" t="s">
        <v>15</v>
      </c>
      <c r="M83" s="18" t="s">
        <v>15</v>
      </c>
      <c r="N83" s="18" t="s">
        <v>15</v>
      </c>
      <c r="O83" s="18" t="s">
        <v>15</v>
      </c>
      <c r="P83" s="18" t="s">
        <v>15</v>
      </c>
      <c r="Q83" s="18" t="s">
        <v>15</v>
      </c>
      <c r="R83" s="18" t="s">
        <v>15</v>
      </c>
      <c r="S83" s="18" t="s">
        <v>15</v>
      </c>
    </row>
    <row r="84" spans="1:19" x14ac:dyDescent="0.25">
      <c r="A84" s="17">
        <v>83</v>
      </c>
      <c r="B84" s="18" t="s">
        <v>15</v>
      </c>
      <c r="C84" s="18" t="s">
        <v>15</v>
      </c>
      <c r="D84" s="18" t="s">
        <v>15</v>
      </c>
      <c r="E84" s="18" t="s">
        <v>15</v>
      </c>
      <c r="F84" s="18" t="s">
        <v>15</v>
      </c>
      <c r="G84" s="18" t="s">
        <v>15</v>
      </c>
      <c r="H84" s="18" t="s">
        <v>15</v>
      </c>
      <c r="I84" s="18" t="s">
        <v>15</v>
      </c>
      <c r="J84" s="18" t="s">
        <v>3045</v>
      </c>
      <c r="K84" s="18" t="s">
        <v>15</v>
      </c>
      <c r="L84" s="18" t="s">
        <v>15</v>
      </c>
      <c r="M84" s="18" t="s">
        <v>15</v>
      </c>
      <c r="N84" s="18" t="s">
        <v>15</v>
      </c>
      <c r="O84" s="18" t="s">
        <v>15</v>
      </c>
      <c r="P84" s="18" t="s">
        <v>15</v>
      </c>
      <c r="Q84" s="18" t="s">
        <v>15</v>
      </c>
      <c r="R84" s="18" t="s">
        <v>15</v>
      </c>
      <c r="S84" s="18" t="s">
        <v>15</v>
      </c>
    </row>
    <row r="85" spans="1:19" x14ac:dyDescent="0.25">
      <c r="A85" s="17">
        <v>84</v>
      </c>
      <c r="B85" s="18" t="s">
        <v>15</v>
      </c>
      <c r="C85" s="18" t="s">
        <v>15</v>
      </c>
      <c r="D85" s="18" t="s">
        <v>15</v>
      </c>
      <c r="E85" s="18" t="s">
        <v>15</v>
      </c>
      <c r="F85" s="18" t="s">
        <v>15</v>
      </c>
      <c r="G85" s="18" t="s">
        <v>15</v>
      </c>
      <c r="H85" s="18" t="s">
        <v>15</v>
      </c>
      <c r="I85" s="18" t="s">
        <v>15</v>
      </c>
      <c r="J85" s="18" t="s">
        <v>3046</v>
      </c>
      <c r="K85" s="18" t="s">
        <v>15</v>
      </c>
      <c r="L85" s="18" t="s">
        <v>15</v>
      </c>
      <c r="M85" s="18" t="s">
        <v>15</v>
      </c>
      <c r="N85" s="18" t="s">
        <v>15</v>
      </c>
      <c r="O85" s="18" t="s">
        <v>15</v>
      </c>
      <c r="P85" s="18" t="s">
        <v>15</v>
      </c>
      <c r="Q85" s="18" t="s">
        <v>15</v>
      </c>
      <c r="R85" s="18" t="s">
        <v>15</v>
      </c>
      <c r="S85" s="18" t="s">
        <v>15</v>
      </c>
    </row>
    <row r="86" spans="1:19" x14ac:dyDescent="0.25">
      <c r="A86" s="17">
        <v>85</v>
      </c>
      <c r="B86" s="18" t="s">
        <v>15</v>
      </c>
      <c r="C86" s="18" t="s">
        <v>15</v>
      </c>
      <c r="D86" s="18" t="s">
        <v>15</v>
      </c>
      <c r="E86" s="18" t="s">
        <v>15</v>
      </c>
      <c r="F86" s="18" t="s">
        <v>15</v>
      </c>
      <c r="G86" s="18" t="s">
        <v>15</v>
      </c>
      <c r="H86" s="18" t="s">
        <v>15</v>
      </c>
      <c r="I86" s="18" t="s">
        <v>15</v>
      </c>
      <c r="J86" s="18" t="s">
        <v>3047</v>
      </c>
      <c r="K86" s="18" t="s">
        <v>15</v>
      </c>
      <c r="L86" s="18" t="s">
        <v>15</v>
      </c>
      <c r="M86" s="18" t="s">
        <v>15</v>
      </c>
      <c r="N86" s="18" t="s">
        <v>15</v>
      </c>
      <c r="O86" s="18" t="s">
        <v>15</v>
      </c>
      <c r="P86" s="18" t="s">
        <v>15</v>
      </c>
      <c r="Q86" s="18" t="s">
        <v>15</v>
      </c>
      <c r="R86" s="18" t="s">
        <v>15</v>
      </c>
      <c r="S86" s="18" t="s">
        <v>15</v>
      </c>
    </row>
    <row r="87" spans="1:19" x14ac:dyDescent="0.25">
      <c r="A87" s="17">
        <v>86</v>
      </c>
      <c r="B87" s="18" t="s">
        <v>15</v>
      </c>
      <c r="C87" s="18" t="s">
        <v>15</v>
      </c>
      <c r="D87" s="18" t="s">
        <v>15</v>
      </c>
      <c r="E87" s="18" t="s">
        <v>15</v>
      </c>
      <c r="F87" s="18" t="s">
        <v>15</v>
      </c>
      <c r="G87" s="18" t="s">
        <v>15</v>
      </c>
      <c r="H87" s="18" t="s">
        <v>15</v>
      </c>
      <c r="I87" s="18" t="s">
        <v>15</v>
      </c>
      <c r="J87" s="18" t="s">
        <v>3048</v>
      </c>
      <c r="K87" s="18" t="s">
        <v>15</v>
      </c>
      <c r="L87" s="18" t="s">
        <v>15</v>
      </c>
      <c r="M87" s="18" t="s">
        <v>15</v>
      </c>
      <c r="N87" s="18" t="s">
        <v>15</v>
      </c>
      <c r="O87" s="18" t="s">
        <v>15</v>
      </c>
      <c r="P87" s="18" t="s">
        <v>15</v>
      </c>
      <c r="Q87" s="18" t="s">
        <v>15</v>
      </c>
      <c r="R87" s="18" t="s">
        <v>15</v>
      </c>
      <c r="S87" s="18" t="s">
        <v>15</v>
      </c>
    </row>
    <row r="88" spans="1:19" x14ac:dyDescent="0.25">
      <c r="A88" s="17">
        <v>87</v>
      </c>
      <c r="B88" s="18" t="s">
        <v>15</v>
      </c>
      <c r="C88" s="18" t="s">
        <v>15</v>
      </c>
      <c r="D88" s="18" t="s">
        <v>15</v>
      </c>
      <c r="E88" s="18" t="s">
        <v>15</v>
      </c>
      <c r="F88" s="18" t="s">
        <v>15</v>
      </c>
      <c r="G88" s="18" t="s">
        <v>15</v>
      </c>
      <c r="H88" s="18" t="s">
        <v>15</v>
      </c>
      <c r="I88" s="18" t="s">
        <v>15</v>
      </c>
      <c r="J88" s="18" t="s">
        <v>3049</v>
      </c>
      <c r="K88" s="18" t="s">
        <v>15</v>
      </c>
      <c r="L88" s="18" t="s">
        <v>15</v>
      </c>
      <c r="M88" s="18" t="s">
        <v>15</v>
      </c>
      <c r="N88" s="18" t="s">
        <v>15</v>
      </c>
      <c r="O88" s="18" t="s">
        <v>15</v>
      </c>
      <c r="P88" s="18" t="s">
        <v>15</v>
      </c>
      <c r="Q88" s="18" t="s">
        <v>15</v>
      </c>
      <c r="R88" s="18" t="s">
        <v>15</v>
      </c>
      <c r="S88" s="18" t="s">
        <v>15</v>
      </c>
    </row>
    <row r="89" spans="1:19" x14ac:dyDescent="0.25">
      <c r="A89" s="17">
        <v>88</v>
      </c>
      <c r="B89" s="18" t="s">
        <v>15</v>
      </c>
      <c r="C89" s="18" t="s">
        <v>15</v>
      </c>
      <c r="D89" s="18" t="s">
        <v>15</v>
      </c>
      <c r="E89" s="18" t="s">
        <v>15</v>
      </c>
      <c r="F89" s="18" t="s">
        <v>15</v>
      </c>
      <c r="G89" s="18" t="s">
        <v>15</v>
      </c>
      <c r="H89" s="18" t="s">
        <v>15</v>
      </c>
      <c r="I89" s="18" t="s">
        <v>15</v>
      </c>
      <c r="J89" s="18" t="s">
        <v>3050</v>
      </c>
      <c r="K89" s="18" t="s">
        <v>15</v>
      </c>
      <c r="L89" s="18" t="s">
        <v>15</v>
      </c>
      <c r="M89" s="18" t="s">
        <v>15</v>
      </c>
      <c r="N89" s="18" t="s">
        <v>15</v>
      </c>
      <c r="O89" s="18" t="s">
        <v>15</v>
      </c>
      <c r="P89" s="18" t="s">
        <v>15</v>
      </c>
      <c r="Q89" s="18" t="s">
        <v>15</v>
      </c>
      <c r="R89" s="18" t="s">
        <v>15</v>
      </c>
      <c r="S89" s="18" t="s">
        <v>15</v>
      </c>
    </row>
    <row r="90" spans="1:19" x14ac:dyDescent="0.25">
      <c r="A90" s="17">
        <v>89</v>
      </c>
      <c r="B90" s="18" t="s">
        <v>15</v>
      </c>
      <c r="C90" s="18" t="s">
        <v>15</v>
      </c>
      <c r="D90" s="18" t="s">
        <v>15</v>
      </c>
      <c r="E90" s="18" t="s">
        <v>15</v>
      </c>
      <c r="F90" s="18" t="s">
        <v>15</v>
      </c>
      <c r="G90" s="18" t="s">
        <v>15</v>
      </c>
      <c r="H90" s="18" t="s">
        <v>15</v>
      </c>
      <c r="I90" s="18" t="s">
        <v>15</v>
      </c>
      <c r="J90" s="18" t="s">
        <v>3051</v>
      </c>
      <c r="K90" s="18" t="s">
        <v>15</v>
      </c>
      <c r="L90" s="18" t="s">
        <v>15</v>
      </c>
      <c r="M90" s="18" t="s">
        <v>15</v>
      </c>
      <c r="N90" s="18" t="s">
        <v>15</v>
      </c>
      <c r="O90" s="18" t="s">
        <v>15</v>
      </c>
      <c r="P90" s="18" t="s">
        <v>15</v>
      </c>
      <c r="Q90" s="18" t="s">
        <v>15</v>
      </c>
      <c r="R90" s="18" t="s">
        <v>15</v>
      </c>
      <c r="S90" s="18" t="s">
        <v>15</v>
      </c>
    </row>
    <row r="91" spans="1:19" x14ac:dyDescent="0.25">
      <c r="A91" s="17">
        <v>90</v>
      </c>
      <c r="B91" s="18" t="s">
        <v>15</v>
      </c>
      <c r="C91" s="18" t="s">
        <v>15</v>
      </c>
      <c r="D91" s="18" t="s">
        <v>15</v>
      </c>
      <c r="E91" s="18" t="s">
        <v>15</v>
      </c>
      <c r="F91" s="18" t="s">
        <v>15</v>
      </c>
      <c r="G91" s="18" t="s">
        <v>15</v>
      </c>
      <c r="H91" s="18" t="s">
        <v>15</v>
      </c>
      <c r="I91" s="18" t="s">
        <v>15</v>
      </c>
      <c r="J91" s="18" t="s">
        <v>3052</v>
      </c>
      <c r="K91" s="18" t="s">
        <v>15</v>
      </c>
      <c r="L91" s="18" t="s">
        <v>15</v>
      </c>
      <c r="M91" s="18" t="s">
        <v>15</v>
      </c>
      <c r="N91" s="18" t="s">
        <v>15</v>
      </c>
      <c r="O91" s="18" t="s">
        <v>15</v>
      </c>
      <c r="P91" s="18" t="s">
        <v>15</v>
      </c>
      <c r="Q91" s="18" t="s">
        <v>15</v>
      </c>
      <c r="R91" s="18" t="s">
        <v>15</v>
      </c>
      <c r="S91" s="18" t="s">
        <v>15</v>
      </c>
    </row>
    <row r="92" spans="1:19" x14ac:dyDescent="0.25">
      <c r="A92" s="17">
        <v>91</v>
      </c>
      <c r="B92" s="18" t="s">
        <v>15</v>
      </c>
      <c r="C92" s="18" t="s">
        <v>15</v>
      </c>
      <c r="D92" s="18" t="s">
        <v>15</v>
      </c>
      <c r="E92" s="18" t="s">
        <v>15</v>
      </c>
      <c r="F92" s="18" t="s">
        <v>15</v>
      </c>
      <c r="G92" s="18" t="s">
        <v>15</v>
      </c>
      <c r="H92" s="18" t="s">
        <v>15</v>
      </c>
      <c r="I92" s="18" t="s">
        <v>15</v>
      </c>
      <c r="J92" s="18" t="s">
        <v>3053</v>
      </c>
      <c r="K92" s="18" t="s">
        <v>15</v>
      </c>
      <c r="L92" s="18" t="s">
        <v>15</v>
      </c>
      <c r="M92" s="18" t="s">
        <v>15</v>
      </c>
      <c r="N92" s="18" t="s">
        <v>15</v>
      </c>
      <c r="O92" s="18" t="s">
        <v>15</v>
      </c>
      <c r="P92" s="18" t="s">
        <v>15</v>
      </c>
      <c r="Q92" s="18" t="s">
        <v>15</v>
      </c>
      <c r="R92" s="18" t="s">
        <v>15</v>
      </c>
      <c r="S92" s="18" t="s">
        <v>15</v>
      </c>
    </row>
    <row r="93" spans="1:19" x14ac:dyDescent="0.25">
      <c r="A93" s="17">
        <v>92</v>
      </c>
      <c r="B93" s="18" t="s">
        <v>15</v>
      </c>
      <c r="C93" s="18" t="s">
        <v>15</v>
      </c>
      <c r="D93" s="18" t="s">
        <v>15</v>
      </c>
      <c r="E93" s="18" t="s">
        <v>15</v>
      </c>
      <c r="F93" s="18" t="s">
        <v>15</v>
      </c>
      <c r="G93" s="18" t="s">
        <v>15</v>
      </c>
      <c r="H93" s="18" t="s">
        <v>15</v>
      </c>
      <c r="I93" s="18" t="s">
        <v>15</v>
      </c>
      <c r="J93" s="18" t="s">
        <v>3054</v>
      </c>
      <c r="K93" s="18" t="s">
        <v>15</v>
      </c>
      <c r="L93" s="18" t="s">
        <v>15</v>
      </c>
      <c r="M93" s="18" t="s">
        <v>15</v>
      </c>
      <c r="N93" s="18" t="s">
        <v>15</v>
      </c>
      <c r="O93" s="18" t="s">
        <v>15</v>
      </c>
      <c r="P93" s="18" t="s">
        <v>15</v>
      </c>
      <c r="Q93" s="18" t="s">
        <v>15</v>
      </c>
      <c r="R93" s="18" t="s">
        <v>15</v>
      </c>
      <c r="S93" s="18" t="s">
        <v>15</v>
      </c>
    </row>
    <row r="94" spans="1:19" x14ac:dyDescent="0.25">
      <c r="A94" s="17">
        <v>93</v>
      </c>
      <c r="B94" s="18" t="s">
        <v>15</v>
      </c>
      <c r="C94" s="18" t="s">
        <v>15</v>
      </c>
      <c r="D94" s="18" t="s">
        <v>15</v>
      </c>
      <c r="E94" s="18" t="s">
        <v>15</v>
      </c>
      <c r="F94" s="18" t="s">
        <v>15</v>
      </c>
      <c r="G94" s="18" t="s">
        <v>15</v>
      </c>
      <c r="H94" s="18" t="s">
        <v>15</v>
      </c>
      <c r="I94" s="18" t="s">
        <v>15</v>
      </c>
      <c r="J94" s="18" t="s">
        <v>2977</v>
      </c>
      <c r="K94" s="18" t="s">
        <v>15</v>
      </c>
      <c r="L94" s="18" t="s">
        <v>15</v>
      </c>
      <c r="M94" s="18" t="s">
        <v>15</v>
      </c>
      <c r="N94" s="18" t="s">
        <v>15</v>
      </c>
      <c r="O94" s="18" t="s">
        <v>15</v>
      </c>
      <c r="P94" s="18" t="s">
        <v>15</v>
      </c>
      <c r="Q94" s="18" t="s">
        <v>15</v>
      </c>
      <c r="R94" s="18" t="s">
        <v>15</v>
      </c>
      <c r="S94" s="18" t="s">
        <v>15</v>
      </c>
    </row>
    <row r="95" spans="1:19" x14ac:dyDescent="0.25">
      <c r="A95" s="17">
        <v>94</v>
      </c>
      <c r="B95" s="18" t="s">
        <v>15</v>
      </c>
      <c r="C95" s="18" t="s">
        <v>15</v>
      </c>
      <c r="D95" s="18" t="s">
        <v>15</v>
      </c>
      <c r="E95" s="18" t="s">
        <v>15</v>
      </c>
      <c r="F95" s="18" t="s">
        <v>15</v>
      </c>
      <c r="G95" s="18" t="s">
        <v>15</v>
      </c>
      <c r="H95" s="18" t="s">
        <v>15</v>
      </c>
      <c r="I95" s="18" t="s">
        <v>15</v>
      </c>
      <c r="J95" s="18" t="s">
        <v>3055</v>
      </c>
      <c r="K95" s="18" t="s">
        <v>15</v>
      </c>
      <c r="L95" s="18" t="s">
        <v>15</v>
      </c>
      <c r="M95" s="18" t="s">
        <v>15</v>
      </c>
      <c r="N95" s="18" t="s">
        <v>15</v>
      </c>
      <c r="O95" s="18" t="s">
        <v>15</v>
      </c>
      <c r="P95" s="18" t="s">
        <v>15</v>
      </c>
      <c r="Q95" s="18" t="s">
        <v>15</v>
      </c>
      <c r="R95" s="18" t="s">
        <v>15</v>
      </c>
      <c r="S95" s="18" t="s">
        <v>15</v>
      </c>
    </row>
    <row r="96" spans="1:19" x14ac:dyDescent="0.25">
      <c r="A96" s="17">
        <v>95</v>
      </c>
      <c r="B96" s="18" t="s">
        <v>15</v>
      </c>
      <c r="C96" s="18" t="s">
        <v>15</v>
      </c>
      <c r="D96" s="18" t="s">
        <v>15</v>
      </c>
      <c r="E96" s="18" t="s">
        <v>15</v>
      </c>
      <c r="F96" s="18" t="s">
        <v>15</v>
      </c>
      <c r="G96" s="18" t="s">
        <v>15</v>
      </c>
      <c r="H96" s="18" t="s">
        <v>15</v>
      </c>
      <c r="I96" s="18" t="s">
        <v>15</v>
      </c>
      <c r="J96" s="18" t="s">
        <v>3056</v>
      </c>
      <c r="K96" s="18" t="s">
        <v>15</v>
      </c>
      <c r="L96" s="18" t="s">
        <v>15</v>
      </c>
      <c r="M96" s="18" t="s">
        <v>15</v>
      </c>
      <c r="N96" s="18" t="s">
        <v>15</v>
      </c>
      <c r="O96" s="18" t="s">
        <v>15</v>
      </c>
      <c r="P96" s="18" t="s">
        <v>15</v>
      </c>
      <c r="Q96" s="18" t="s">
        <v>15</v>
      </c>
      <c r="R96" s="18" t="s">
        <v>15</v>
      </c>
      <c r="S96" s="18" t="s">
        <v>15</v>
      </c>
    </row>
    <row r="97" spans="1:19" x14ac:dyDescent="0.25">
      <c r="A97" s="17">
        <v>96</v>
      </c>
      <c r="B97" s="18" t="s">
        <v>15</v>
      </c>
      <c r="C97" s="18" t="s">
        <v>15</v>
      </c>
      <c r="D97" s="18" t="s">
        <v>15</v>
      </c>
      <c r="E97" s="18" t="s">
        <v>15</v>
      </c>
      <c r="F97" s="18" t="s">
        <v>15</v>
      </c>
      <c r="G97" s="18" t="s">
        <v>15</v>
      </c>
      <c r="H97" s="18" t="s">
        <v>15</v>
      </c>
      <c r="I97" s="18" t="s">
        <v>15</v>
      </c>
      <c r="J97" s="18" t="s">
        <v>3057</v>
      </c>
      <c r="K97" s="18" t="s">
        <v>15</v>
      </c>
      <c r="L97" s="18" t="s">
        <v>15</v>
      </c>
      <c r="M97" s="18" t="s">
        <v>15</v>
      </c>
      <c r="N97" s="18" t="s">
        <v>15</v>
      </c>
      <c r="O97" s="18" t="s">
        <v>15</v>
      </c>
      <c r="P97" s="18" t="s">
        <v>15</v>
      </c>
      <c r="Q97" s="18" t="s">
        <v>15</v>
      </c>
      <c r="R97" s="18" t="s">
        <v>15</v>
      </c>
      <c r="S97" s="18" t="s">
        <v>15</v>
      </c>
    </row>
    <row r="98" spans="1:19" x14ac:dyDescent="0.25">
      <c r="A98" s="17">
        <v>97</v>
      </c>
      <c r="B98" s="18" t="s">
        <v>15</v>
      </c>
      <c r="C98" s="18" t="s">
        <v>15</v>
      </c>
      <c r="D98" s="18" t="s">
        <v>15</v>
      </c>
      <c r="E98" s="18" t="s">
        <v>15</v>
      </c>
      <c r="F98" s="18" t="s">
        <v>15</v>
      </c>
      <c r="G98" s="18" t="s">
        <v>15</v>
      </c>
      <c r="H98" s="18" t="s">
        <v>15</v>
      </c>
      <c r="I98" s="18" t="s">
        <v>15</v>
      </c>
      <c r="J98" s="18" t="s">
        <v>3036</v>
      </c>
      <c r="K98" s="18" t="s">
        <v>15</v>
      </c>
      <c r="L98" s="18" t="s">
        <v>15</v>
      </c>
      <c r="M98" s="18" t="s">
        <v>15</v>
      </c>
      <c r="N98" s="18" t="s">
        <v>15</v>
      </c>
      <c r="O98" s="18" t="s">
        <v>15</v>
      </c>
      <c r="P98" s="18" t="s">
        <v>15</v>
      </c>
      <c r="Q98" s="18" t="s">
        <v>15</v>
      </c>
      <c r="R98" s="18" t="s">
        <v>15</v>
      </c>
      <c r="S98" s="18" t="s">
        <v>15</v>
      </c>
    </row>
    <row r="99" spans="1:19" x14ac:dyDescent="0.25">
      <c r="A99" s="17">
        <v>98</v>
      </c>
      <c r="B99" s="18" t="s">
        <v>15</v>
      </c>
      <c r="C99" s="18" t="s">
        <v>15</v>
      </c>
      <c r="D99" s="18" t="s">
        <v>15</v>
      </c>
      <c r="E99" s="18" t="s">
        <v>15</v>
      </c>
      <c r="F99" s="18" t="s">
        <v>15</v>
      </c>
      <c r="G99" s="18" t="s">
        <v>15</v>
      </c>
      <c r="H99" s="18" t="s">
        <v>15</v>
      </c>
      <c r="I99" s="18" t="s">
        <v>15</v>
      </c>
      <c r="J99" s="18" t="s">
        <v>3058</v>
      </c>
      <c r="K99" s="18" t="s">
        <v>15</v>
      </c>
      <c r="L99" s="18" t="s">
        <v>15</v>
      </c>
      <c r="M99" s="18" t="s">
        <v>15</v>
      </c>
      <c r="N99" s="18" t="s">
        <v>15</v>
      </c>
      <c r="O99" s="18" t="s">
        <v>15</v>
      </c>
      <c r="P99" s="18" t="s">
        <v>15</v>
      </c>
      <c r="Q99" s="18" t="s">
        <v>15</v>
      </c>
      <c r="R99" s="18" t="s">
        <v>15</v>
      </c>
      <c r="S99" s="18" t="s">
        <v>15</v>
      </c>
    </row>
    <row r="100" spans="1:19" x14ac:dyDescent="0.25">
      <c r="A100" s="17">
        <v>99</v>
      </c>
      <c r="B100" s="18" t="s">
        <v>15</v>
      </c>
      <c r="C100" s="18" t="s">
        <v>15</v>
      </c>
      <c r="D100" s="18" t="s">
        <v>15</v>
      </c>
      <c r="E100" s="18" t="s">
        <v>15</v>
      </c>
      <c r="F100" s="18" t="s">
        <v>15</v>
      </c>
      <c r="G100" s="18" t="s">
        <v>15</v>
      </c>
      <c r="H100" s="18" t="s">
        <v>15</v>
      </c>
      <c r="I100" s="18" t="s">
        <v>15</v>
      </c>
      <c r="J100" s="18" t="s">
        <v>3059</v>
      </c>
      <c r="K100" s="18" t="s">
        <v>15</v>
      </c>
      <c r="L100" s="18" t="s">
        <v>15</v>
      </c>
      <c r="M100" s="18" t="s">
        <v>15</v>
      </c>
      <c r="N100" s="18" t="s">
        <v>15</v>
      </c>
      <c r="O100" s="18" t="s">
        <v>15</v>
      </c>
      <c r="P100" s="18" t="s">
        <v>15</v>
      </c>
      <c r="Q100" s="18" t="s">
        <v>15</v>
      </c>
      <c r="R100" s="18" t="s">
        <v>15</v>
      </c>
      <c r="S100" s="18" t="s">
        <v>15</v>
      </c>
    </row>
    <row r="101" spans="1:19" x14ac:dyDescent="0.25">
      <c r="A101" s="17">
        <v>100</v>
      </c>
      <c r="B101" s="18" t="s">
        <v>15</v>
      </c>
      <c r="C101" s="18" t="s">
        <v>15</v>
      </c>
      <c r="D101" s="18" t="s">
        <v>15</v>
      </c>
      <c r="E101" s="18" t="s">
        <v>15</v>
      </c>
      <c r="F101" s="18" t="s">
        <v>15</v>
      </c>
      <c r="G101" s="18" t="s">
        <v>15</v>
      </c>
      <c r="H101" s="18" t="s">
        <v>15</v>
      </c>
      <c r="I101" s="18" t="s">
        <v>15</v>
      </c>
      <c r="J101" s="18" t="s">
        <v>3060</v>
      </c>
      <c r="K101" s="18" t="s">
        <v>15</v>
      </c>
      <c r="L101" s="18" t="s">
        <v>15</v>
      </c>
      <c r="M101" s="18" t="s">
        <v>15</v>
      </c>
      <c r="N101" s="18" t="s">
        <v>15</v>
      </c>
      <c r="O101" s="18" t="s">
        <v>15</v>
      </c>
      <c r="P101" s="18" t="s">
        <v>15</v>
      </c>
      <c r="Q101" s="18" t="s">
        <v>15</v>
      </c>
      <c r="R101" s="18" t="s">
        <v>15</v>
      </c>
      <c r="S101" s="18" t="s">
        <v>15</v>
      </c>
    </row>
    <row r="102" spans="1:19" x14ac:dyDescent="0.25">
      <c r="A102" s="17">
        <v>101</v>
      </c>
      <c r="B102" s="18" t="s">
        <v>15</v>
      </c>
      <c r="C102" s="18" t="s">
        <v>15</v>
      </c>
      <c r="D102" s="18" t="s">
        <v>15</v>
      </c>
      <c r="E102" s="18" t="s">
        <v>15</v>
      </c>
      <c r="F102" s="18" t="s">
        <v>15</v>
      </c>
      <c r="G102" s="18" t="s">
        <v>15</v>
      </c>
      <c r="H102" s="18" t="s">
        <v>15</v>
      </c>
      <c r="I102" s="18" t="s">
        <v>15</v>
      </c>
      <c r="J102" s="18" t="s">
        <v>3061</v>
      </c>
      <c r="K102" s="18" t="s">
        <v>15</v>
      </c>
      <c r="L102" s="18" t="s">
        <v>15</v>
      </c>
      <c r="M102" s="18" t="s">
        <v>15</v>
      </c>
      <c r="N102" s="18" t="s">
        <v>15</v>
      </c>
      <c r="O102" s="18" t="s">
        <v>15</v>
      </c>
      <c r="P102" s="18" t="s">
        <v>15</v>
      </c>
      <c r="Q102" s="18" t="s">
        <v>15</v>
      </c>
      <c r="R102" s="18" t="s">
        <v>15</v>
      </c>
      <c r="S102" s="18" t="s">
        <v>15</v>
      </c>
    </row>
    <row r="103" spans="1:19" x14ac:dyDescent="0.25">
      <c r="A103" s="17">
        <v>102</v>
      </c>
      <c r="B103" s="18" t="s">
        <v>15</v>
      </c>
      <c r="C103" s="18" t="s">
        <v>15</v>
      </c>
      <c r="D103" s="18" t="s">
        <v>15</v>
      </c>
      <c r="E103" s="18" t="s">
        <v>15</v>
      </c>
      <c r="F103" s="18" t="s">
        <v>15</v>
      </c>
      <c r="G103" s="18" t="s">
        <v>15</v>
      </c>
      <c r="H103" s="18" t="s">
        <v>15</v>
      </c>
      <c r="I103" s="18" t="s">
        <v>15</v>
      </c>
      <c r="J103" s="18" t="s">
        <v>3062</v>
      </c>
      <c r="K103" s="18" t="s">
        <v>15</v>
      </c>
      <c r="L103" s="18" t="s">
        <v>15</v>
      </c>
      <c r="M103" s="18" t="s">
        <v>15</v>
      </c>
      <c r="N103" s="18" t="s">
        <v>15</v>
      </c>
      <c r="O103" s="18" t="s">
        <v>15</v>
      </c>
      <c r="P103" s="18" t="s">
        <v>15</v>
      </c>
      <c r="Q103" s="18" t="s">
        <v>15</v>
      </c>
      <c r="R103" s="18" t="s">
        <v>15</v>
      </c>
      <c r="S103" s="18" t="s">
        <v>15</v>
      </c>
    </row>
    <row r="104" spans="1:19" x14ac:dyDescent="0.25">
      <c r="A104" s="17">
        <v>103</v>
      </c>
      <c r="B104" s="18" t="s">
        <v>15</v>
      </c>
      <c r="C104" s="18" t="s">
        <v>15</v>
      </c>
      <c r="D104" s="18" t="s">
        <v>15</v>
      </c>
      <c r="E104" s="18" t="s">
        <v>15</v>
      </c>
      <c r="F104" s="18" t="s">
        <v>15</v>
      </c>
      <c r="G104" s="18" t="s">
        <v>15</v>
      </c>
      <c r="H104" s="18" t="s">
        <v>15</v>
      </c>
      <c r="I104" s="18" t="s">
        <v>15</v>
      </c>
      <c r="J104" s="18" t="s">
        <v>3063</v>
      </c>
      <c r="K104" s="18" t="s">
        <v>15</v>
      </c>
      <c r="L104" s="18" t="s">
        <v>15</v>
      </c>
      <c r="M104" s="18" t="s">
        <v>15</v>
      </c>
      <c r="N104" s="18" t="s">
        <v>15</v>
      </c>
      <c r="O104" s="18" t="s">
        <v>15</v>
      </c>
      <c r="P104" s="18" t="s">
        <v>15</v>
      </c>
      <c r="Q104" s="18" t="s">
        <v>15</v>
      </c>
      <c r="R104" s="18" t="s">
        <v>15</v>
      </c>
      <c r="S104" s="18" t="s">
        <v>15</v>
      </c>
    </row>
    <row r="105" spans="1:19" x14ac:dyDescent="0.25">
      <c r="A105" s="17">
        <v>104</v>
      </c>
      <c r="B105" s="18" t="s">
        <v>15</v>
      </c>
      <c r="C105" s="18" t="s">
        <v>15</v>
      </c>
      <c r="D105" s="18" t="s">
        <v>15</v>
      </c>
      <c r="E105" s="18" t="s">
        <v>15</v>
      </c>
      <c r="F105" s="18" t="s">
        <v>15</v>
      </c>
      <c r="G105" s="18" t="s">
        <v>15</v>
      </c>
      <c r="H105" s="18" t="s">
        <v>15</v>
      </c>
      <c r="I105" s="18" t="s">
        <v>15</v>
      </c>
      <c r="J105" s="18" t="s">
        <v>3064</v>
      </c>
      <c r="K105" s="18" t="s">
        <v>15</v>
      </c>
      <c r="L105" s="18" t="s">
        <v>15</v>
      </c>
      <c r="M105" s="18" t="s">
        <v>15</v>
      </c>
      <c r="N105" s="18" t="s">
        <v>15</v>
      </c>
      <c r="O105" s="18" t="s">
        <v>15</v>
      </c>
      <c r="P105" s="18" t="s">
        <v>15</v>
      </c>
      <c r="Q105" s="18" t="s">
        <v>15</v>
      </c>
      <c r="R105" s="18" t="s">
        <v>15</v>
      </c>
      <c r="S105" s="18" t="s">
        <v>15</v>
      </c>
    </row>
    <row r="106" spans="1:19" x14ac:dyDescent="0.25">
      <c r="A106" s="17">
        <v>105</v>
      </c>
      <c r="B106" s="18" t="s">
        <v>15</v>
      </c>
      <c r="C106" s="18" t="s">
        <v>15</v>
      </c>
      <c r="D106" s="18" t="s">
        <v>15</v>
      </c>
      <c r="E106" s="18" t="s">
        <v>15</v>
      </c>
      <c r="F106" s="18" t="s">
        <v>15</v>
      </c>
      <c r="G106" s="18" t="s">
        <v>15</v>
      </c>
      <c r="H106" s="18" t="s">
        <v>15</v>
      </c>
      <c r="I106" s="18" t="s">
        <v>15</v>
      </c>
      <c r="J106" s="18" t="s">
        <v>2843</v>
      </c>
      <c r="K106" s="18" t="s">
        <v>15</v>
      </c>
      <c r="L106" s="18" t="s">
        <v>15</v>
      </c>
      <c r="M106" s="18" t="s">
        <v>15</v>
      </c>
      <c r="N106" s="18" t="s">
        <v>15</v>
      </c>
      <c r="O106" s="18" t="s">
        <v>15</v>
      </c>
      <c r="P106" s="18" t="s">
        <v>15</v>
      </c>
      <c r="Q106" s="18" t="s">
        <v>15</v>
      </c>
      <c r="R106" s="18" t="s">
        <v>15</v>
      </c>
      <c r="S106" s="18" t="s">
        <v>15</v>
      </c>
    </row>
    <row r="107" spans="1:19" x14ac:dyDescent="0.25">
      <c r="A107" s="17">
        <v>106</v>
      </c>
      <c r="B107" s="18" t="s">
        <v>15</v>
      </c>
      <c r="C107" s="18" t="s">
        <v>15</v>
      </c>
      <c r="D107" s="18" t="s">
        <v>15</v>
      </c>
      <c r="E107" s="18" t="s">
        <v>15</v>
      </c>
      <c r="F107" s="18" t="s">
        <v>15</v>
      </c>
      <c r="G107" s="18" t="s">
        <v>15</v>
      </c>
      <c r="H107" s="18" t="s">
        <v>15</v>
      </c>
      <c r="I107" s="18" t="s">
        <v>15</v>
      </c>
      <c r="J107" s="18" t="s">
        <v>3065</v>
      </c>
      <c r="K107" s="18" t="s">
        <v>15</v>
      </c>
      <c r="L107" s="18" t="s">
        <v>15</v>
      </c>
      <c r="M107" s="18" t="s">
        <v>15</v>
      </c>
      <c r="N107" s="18" t="s">
        <v>15</v>
      </c>
      <c r="O107" s="18" t="s">
        <v>15</v>
      </c>
      <c r="P107" s="18" t="s">
        <v>15</v>
      </c>
      <c r="Q107" s="18" t="s">
        <v>15</v>
      </c>
      <c r="R107" s="18" t="s">
        <v>15</v>
      </c>
      <c r="S107" s="18" t="s">
        <v>15</v>
      </c>
    </row>
    <row r="108" spans="1:19" x14ac:dyDescent="0.25">
      <c r="A108" s="17">
        <v>107</v>
      </c>
      <c r="B108" s="18" t="s">
        <v>15</v>
      </c>
      <c r="C108" s="18" t="s">
        <v>15</v>
      </c>
      <c r="D108" s="18" t="s">
        <v>15</v>
      </c>
      <c r="E108" s="18" t="s">
        <v>15</v>
      </c>
      <c r="F108" s="18" t="s">
        <v>15</v>
      </c>
      <c r="G108" s="18" t="s">
        <v>15</v>
      </c>
      <c r="H108" s="18" t="s">
        <v>15</v>
      </c>
      <c r="I108" s="18" t="s">
        <v>15</v>
      </c>
      <c r="J108" s="18" t="s">
        <v>3066</v>
      </c>
      <c r="K108" s="18" t="s">
        <v>15</v>
      </c>
      <c r="L108" s="18" t="s">
        <v>15</v>
      </c>
      <c r="M108" s="18" t="s">
        <v>15</v>
      </c>
      <c r="N108" s="18" t="s">
        <v>15</v>
      </c>
      <c r="O108" s="18" t="s">
        <v>15</v>
      </c>
      <c r="P108" s="18" t="s">
        <v>15</v>
      </c>
      <c r="Q108" s="18" t="s">
        <v>15</v>
      </c>
      <c r="R108" s="18" t="s">
        <v>15</v>
      </c>
      <c r="S108" s="18" t="s">
        <v>15</v>
      </c>
    </row>
    <row r="109" spans="1:19" x14ac:dyDescent="0.25">
      <c r="A109" s="17">
        <v>108</v>
      </c>
      <c r="B109" s="18" t="s">
        <v>15</v>
      </c>
      <c r="C109" s="18" t="s">
        <v>15</v>
      </c>
      <c r="D109" s="18" t="s">
        <v>15</v>
      </c>
      <c r="E109" s="18" t="s">
        <v>15</v>
      </c>
      <c r="F109" s="18" t="s">
        <v>15</v>
      </c>
      <c r="G109" s="18" t="s">
        <v>15</v>
      </c>
      <c r="H109" s="18" t="s">
        <v>15</v>
      </c>
      <c r="I109" s="18" t="s">
        <v>15</v>
      </c>
      <c r="J109" s="18" t="s">
        <v>3067</v>
      </c>
      <c r="K109" s="18" t="s">
        <v>15</v>
      </c>
      <c r="L109" s="18" t="s">
        <v>15</v>
      </c>
      <c r="M109" s="18" t="s">
        <v>15</v>
      </c>
      <c r="N109" s="18" t="s">
        <v>15</v>
      </c>
      <c r="O109" s="18" t="s">
        <v>15</v>
      </c>
      <c r="P109" s="18" t="s">
        <v>15</v>
      </c>
      <c r="Q109" s="18" t="s">
        <v>15</v>
      </c>
      <c r="R109" s="18" t="s">
        <v>15</v>
      </c>
      <c r="S109" s="18" t="s">
        <v>15</v>
      </c>
    </row>
    <row r="110" spans="1:19" x14ac:dyDescent="0.25">
      <c r="A110" s="17">
        <v>109</v>
      </c>
      <c r="B110" s="18" t="s">
        <v>15</v>
      </c>
      <c r="C110" s="18" t="s">
        <v>15</v>
      </c>
      <c r="D110" s="18" t="s">
        <v>15</v>
      </c>
      <c r="E110" s="18" t="s">
        <v>15</v>
      </c>
      <c r="F110" s="18" t="s">
        <v>15</v>
      </c>
      <c r="G110" s="18" t="s">
        <v>15</v>
      </c>
      <c r="H110" s="18" t="s">
        <v>15</v>
      </c>
      <c r="I110" s="18" t="s">
        <v>15</v>
      </c>
      <c r="J110" s="18" t="s">
        <v>2942</v>
      </c>
      <c r="K110" s="18" t="s">
        <v>15</v>
      </c>
      <c r="L110" s="18" t="s">
        <v>15</v>
      </c>
      <c r="M110" s="18" t="s">
        <v>15</v>
      </c>
      <c r="N110" s="18" t="s">
        <v>15</v>
      </c>
      <c r="O110" s="18" t="s">
        <v>15</v>
      </c>
      <c r="P110" s="18" t="s">
        <v>15</v>
      </c>
      <c r="Q110" s="18" t="s">
        <v>15</v>
      </c>
      <c r="R110" s="18" t="s">
        <v>15</v>
      </c>
      <c r="S110" s="18" t="s">
        <v>15</v>
      </c>
    </row>
    <row r="111" spans="1:19" x14ac:dyDescent="0.25">
      <c r="A111" s="17">
        <v>110</v>
      </c>
      <c r="B111" s="18" t="s">
        <v>15</v>
      </c>
      <c r="C111" s="18" t="s">
        <v>15</v>
      </c>
      <c r="D111" s="18" t="s">
        <v>15</v>
      </c>
      <c r="E111" s="18" t="s">
        <v>15</v>
      </c>
      <c r="F111" s="18" t="s">
        <v>15</v>
      </c>
      <c r="G111" s="18" t="s">
        <v>15</v>
      </c>
      <c r="H111" s="18" t="s">
        <v>15</v>
      </c>
      <c r="I111" s="18" t="s">
        <v>15</v>
      </c>
      <c r="J111" s="18" t="s">
        <v>3068</v>
      </c>
      <c r="K111" s="18" t="s">
        <v>15</v>
      </c>
      <c r="L111" s="18" t="s">
        <v>15</v>
      </c>
      <c r="M111" s="18" t="s">
        <v>15</v>
      </c>
      <c r="N111" s="18" t="s">
        <v>15</v>
      </c>
      <c r="O111" s="18" t="s">
        <v>15</v>
      </c>
      <c r="P111" s="18" t="s">
        <v>15</v>
      </c>
      <c r="Q111" s="18" t="s">
        <v>15</v>
      </c>
      <c r="R111" s="18" t="s">
        <v>15</v>
      </c>
      <c r="S111" s="18" t="s">
        <v>15</v>
      </c>
    </row>
    <row r="112" spans="1:19" x14ac:dyDescent="0.25">
      <c r="A112" s="17">
        <v>111</v>
      </c>
      <c r="B112" s="18" t="s">
        <v>15</v>
      </c>
      <c r="C112" s="18" t="s">
        <v>15</v>
      </c>
      <c r="D112" s="18" t="s">
        <v>15</v>
      </c>
      <c r="E112" s="18" t="s">
        <v>15</v>
      </c>
      <c r="F112" s="18" t="s">
        <v>15</v>
      </c>
      <c r="G112" s="18" t="s">
        <v>15</v>
      </c>
      <c r="H112" s="18" t="s">
        <v>15</v>
      </c>
      <c r="I112" s="18" t="s">
        <v>15</v>
      </c>
      <c r="J112" s="18" t="s">
        <v>2953</v>
      </c>
      <c r="K112" s="18" t="s">
        <v>15</v>
      </c>
      <c r="L112" s="18" t="s">
        <v>15</v>
      </c>
      <c r="M112" s="18" t="s">
        <v>15</v>
      </c>
      <c r="N112" s="18" t="s">
        <v>15</v>
      </c>
      <c r="O112" s="18" t="s">
        <v>15</v>
      </c>
      <c r="P112" s="18" t="s">
        <v>15</v>
      </c>
      <c r="Q112" s="18" t="s">
        <v>15</v>
      </c>
      <c r="R112" s="18" t="s">
        <v>15</v>
      </c>
      <c r="S112" s="18" t="s">
        <v>15</v>
      </c>
    </row>
    <row r="113" spans="1:19" x14ac:dyDescent="0.25">
      <c r="A113" s="17">
        <v>112</v>
      </c>
      <c r="B113" s="18" t="s">
        <v>15</v>
      </c>
      <c r="C113" s="18" t="s">
        <v>15</v>
      </c>
      <c r="D113" s="18" t="s">
        <v>15</v>
      </c>
      <c r="E113" s="18" t="s">
        <v>15</v>
      </c>
      <c r="F113" s="18" t="s">
        <v>15</v>
      </c>
      <c r="G113" s="18" t="s">
        <v>15</v>
      </c>
      <c r="H113" s="18" t="s">
        <v>15</v>
      </c>
      <c r="I113" s="18" t="s">
        <v>15</v>
      </c>
      <c r="J113" s="18" t="s">
        <v>3069</v>
      </c>
      <c r="K113" s="18" t="s">
        <v>15</v>
      </c>
      <c r="L113" s="18" t="s">
        <v>15</v>
      </c>
      <c r="M113" s="18" t="s">
        <v>15</v>
      </c>
      <c r="N113" s="18" t="s">
        <v>15</v>
      </c>
      <c r="O113" s="18" t="s">
        <v>15</v>
      </c>
      <c r="P113" s="18" t="s">
        <v>15</v>
      </c>
      <c r="Q113" s="18" t="s">
        <v>15</v>
      </c>
      <c r="R113" s="18" t="s">
        <v>15</v>
      </c>
      <c r="S113" s="18" t="s">
        <v>15</v>
      </c>
    </row>
    <row r="114" spans="1:19" x14ac:dyDescent="0.25">
      <c r="A114" s="17">
        <v>113</v>
      </c>
      <c r="B114" s="18" t="s">
        <v>15</v>
      </c>
      <c r="C114" s="18" t="s">
        <v>15</v>
      </c>
      <c r="D114" s="18" t="s">
        <v>15</v>
      </c>
      <c r="E114" s="18" t="s">
        <v>15</v>
      </c>
      <c r="F114" s="18" t="s">
        <v>15</v>
      </c>
      <c r="G114" s="18" t="s">
        <v>15</v>
      </c>
      <c r="H114" s="18" t="s">
        <v>15</v>
      </c>
      <c r="I114" s="18" t="s">
        <v>15</v>
      </c>
      <c r="J114" s="18" t="s">
        <v>2972</v>
      </c>
      <c r="K114" s="18" t="s">
        <v>15</v>
      </c>
      <c r="L114" s="18" t="s">
        <v>15</v>
      </c>
      <c r="M114" s="18" t="s">
        <v>15</v>
      </c>
      <c r="N114" s="18" t="s">
        <v>15</v>
      </c>
      <c r="O114" s="18" t="s">
        <v>15</v>
      </c>
      <c r="P114" s="18" t="s">
        <v>15</v>
      </c>
      <c r="Q114" s="18" t="s">
        <v>15</v>
      </c>
      <c r="R114" s="18" t="s">
        <v>15</v>
      </c>
      <c r="S114" s="18" t="s">
        <v>15</v>
      </c>
    </row>
    <row r="115" spans="1:19" x14ac:dyDescent="0.25">
      <c r="A115" s="17">
        <v>114</v>
      </c>
      <c r="B115" s="18" t="s">
        <v>15</v>
      </c>
      <c r="C115" s="18" t="s">
        <v>15</v>
      </c>
      <c r="D115" s="18" t="s">
        <v>15</v>
      </c>
      <c r="E115" s="18" t="s">
        <v>15</v>
      </c>
      <c r="F115" s="18" t="s">
        <v>15</v>
      </c>
      <c r="G115" s="18" t="s">
        <v>15</v>
      </c>
      <c r="H115" s="18" t="s">
        <v>15</v>
      </c>
      <c r="I115" s="18" t="s">
        <v>15</v>
      </c>
      <c r="J115" s="18" t="s">
        <v>3070</v>
      </c>
      <c r="K115" s="18" t="s">
        <v>15</v>
      </c>
      <c r="L115" s="18" t="s">
        <v>15</v>
      </c>
      <c r="M115" s="18" t="s">
        <v>15</v>
      </c>
      <c r="N115" s="18" t="s">
        <v>15</v>
      </c>
      <c r="O115" s="18" t="s">
        <v>15</v>
      </c>
      <c r="P115" s="18" t="s">
        <v>15</v>
      </c>
      <c r="Q115" s="18" t="s">
        <v>15</v>
      </c>
      <c r="R115" s="18" t="s">
        <v>15</v>
      </c>
      <c r="S115" s="18" t="s">
        <v>15</v>
      </c>
    </row>
    <row r="116" spans="1:19" x14ac:dyDescent="0.25">
      <c r="A116" s="17">
        <v>115</v>
      </c>
      <c r="B116" s="18" t="s">
        <v>15</v>
      </c>
      <c r="C116" s="18" t="s">
        <v>15</v>
      </c>
      <c r="D116" s="18" t="s">
        <v>15</v>
      </c>
      <c r="E116" s="18" t="s">
        <v>15</v>
      </c>
      <c r="F116" s="18" t="s">
        <v>15</v>
      </c>
      <c r="G116" s="18" t="s">
        <v>15</v>
      </c>
      <c r="H116" s="18" t="s">
        <v>15</v>
      </c>
      <c r="I116" s="18" t="s">
        <v>15</v>
      </c>
      <c r="J116" s="18" t="s">
        <v>3012</v>
      </c>
      <c r="K116" s="18" t="s">
        <v>15</v>
      </c>
      <c r="L116" s="18" t="s">
        <v>15</v>
      </c>
      <c r="M116" s="18" t="s">
        <v>15</v>
      </c>
      <c r="N116" s="18" t="s">
        <v>15</v>
      </c>
      <c r="O116" s="18" t="s">
        <v>15</v>
      </c>
      <c r="P116" s="18" t="s">
        <v>15</v>
      </c>
      <c r="Q116" s="18" t="s">
        <v>15</v>
      </c>
      <c r="R116" s="18" t="s">
        <v>15</v>
      </c>
      <c r="S116" s="18" t="s">
        <v>15</v>
      </c>
    </row>
    <row r="117" spans="1:19" x14ac:dyDescent="0.25">
      <c r="A117" s="17">
        <v>116</v>
      </c>
      <c r="B117" s="18" t="s">
        <v>15</v>
      </c>
      <c r="C117" s="18" t="s">
        <v>15</v>
      </c>
      <c r="D117" s="18" t="s">
        <v>15</v>
      </c>
      <c r="E117" s="18" t="s">
        <v>15</v>
      </c>
      <c r="F117" s="18" t="s">
        <v>15</v>
      </c>
      <c r="G117" s="18" t="s">
        <v>15</v>
      </c>
      <c r="H117" s="18" t="s">
        <v>15</v>
      </c>
      <c r="I117" s="18" t="s">
        <v>15</v>
      </c>
      <c r="J117" s="18" t="s">
        <v>2964</v>
      </c>
      <c r="K117" s="18" t="s">
        <v>15</v>
      </c>
      <c r="L117" s="18" t="s">
        <v>15</v>
      </c>
      <c r="M117" s="18" t="s">
        <v>15</v>
      </c>
      <c r="N117" s="18" t="s">
        <v>15</v>
      </c>
      <c r="O117" s="18" t="s">
        <v>15</v>
      </c>
      <c r="P117" s="18" t="s">
        <v>15</v>
      </c>
      <c r="Q117" s="18" t="s">
        <v>15</v>
      </c>
      <c r="R117" s="18" t="s">
        <v>15</v>
      </c>
      <c r="S117" s="18" t="s">
        <v>15</v>
      </c>
    </row>
    <row r="118" spans="1:19" x14ac:dyDescent="0.25">
      <c r="A118" s="17">
        <v>117</v>
      </c>
      <c r="B118" s="18" t="s">
        <v>15</v>
      </c>
      <c r="C118" s="18" t="s">
        <v>15</v>
      </c>
      <c r="D118" s="18" t="s">
        <v>15</v>
      </c>
      <c r="E118" s="18" t="s">
        <v>15</v>
      </c>
      <c r="F118" s="18" t="s">
        <v>15</v>
      </c>
      <c r="G118" s="18" t="s">
        <v>15</v>
      </c>
      <c r="H118" s="18" t="s">
        <v>15</v>
      </c>
      <c r="I118" s="18" t="s">
        <v>15</v>
      </c>
      <c r="J118" s="18" t="s">
        <v>2956</v>
      </c>
      <c r="K118" s="18" t="s">
        <v>15</v>
      </c>
      <c r="L118" s="18" t="s">
        <v>15</v>
      </c>
      <c r="M118" s="18" t="s">
        <v>15</v>
      </c>
      <c r="N118" s="18" t="s">
        <v>15</v>
      </c>
      <c r="O118" s="18" t="s">
        <v>15</v>
      </c>
      <c r="P118" s="18" t="s">
        <v>15</v>
      </c>
      <c r="Q118" s="18" t="s">
        <v>15</v>
      </c>
      <c r="R118" s="18" t="s">
        <v>15</v>
      </c>
      <c r="S118" s="18" t="s">
        <v>15</v>
      </c>
    </row>
    <row r="119" spans="1:19" x14ac:dyDescent="0.25">
      <c r="A119" s="17">
        <v>118</v>
      </c>
      <c r="B119" s="18" t="s">
        <v>15</v>
      </c>
      <c r="C119" s="18" t="s">
        <v>15</v>
      </c>
      <c r="D119" s="18" t="s">
        <v>15</v>
      </c>
      <c r="E119" s="18" t="s">
        <v>15</v>
      </c>
      <c r="F119" s="18" t="s">
        <v>15</v>
      </c>
      <c r="G119" s="18" t="s">
        <v>15</v>
      </c>
      <c r="H119" s="18" t="s">
        <v>15</v>
      </c>
      <c r="I119" s="18" t="s">
        <v>15</v>
      </c>
      <c r="J119" s="18" t="s">
        <v>3022</v>
      </c>
      <c r="K119" s="18" t="s">
        <v>15</v>
      </c>
      <c r="L119" s="18" t="s">
        <v>15</v>
      </c>
      <c r="M119" s="18" t="s">
        <v>15</v>
      </c>
      <c r="N119" s="18" t="s">
        <v>15</v>
      </c>
      <c r="O119" s="18" t="s">
        <v>15</v>
      </c>
      <c r="P119" s="18" t="s">
        <v>15</v>
      </c>
      <c r="Q119" s="18" t="s">
        <v>15</v>
      </c>
      <c r="R119" s="18" t="s">
        <v>15</v>
      </c>
      <c r="S119" s="18" t="s">
        <v>15</v>
      </c>
    </row>
    <row r="120" spans="1:19" x14ac:dyDescent="0.25">
      <c r="A120" s="17">
        <v>119</v>
      </c>
      <c r="B120" s="18" t="s">
        <v>15</v>
      </c>
      <c r="C120" s="18" t="s">
        <v>15</v>
      </c>
      <c r="D120" s="18" t="s">
        <v>15</v>
      </c>
      <c r="E120" s="18" t="s">
        <v>15</v>
      </c>
      <c r="F120" s="18" t="s">
        <v>15</v>
      </c>
      <c r="G120" s="18" t="s">
        <v>15</v>
      </c>
      <c r="H120" s="18" t="s">
        <v>15</v>
      </c>
      <c r="I120" s="18" t="s">
        <v>15</v>
      </c>
      <c r="J120" s="18" t="s">
        <v>3071</v>
      </c>
      <c r="K120" s="18" t="s">
        <v>15</v>
      </c>
      <c r="L120" s="18" t="s">
        <v>15</v>
      </c>
      <c r="M120" s="18" t="s">
        <v>15</v>
      </c>
      <c r="N120" s="18" t="s">
        <v>15</v>
      </c>
      <c r="O120" s="18" t="s">
        <v>15</v>
      </c>
      <c r="P120" s="18" t="s">
        <v>15</v>
      </c>
      <c r="Q120" s="18" t="s">
        <v>15</v>
      </c>
      <c r="R120" s="18" t="s">
        <v>15</v>
      </c>
      <c r="S120" s="18" t="s">
        <v>15</v>
      </c>
    </row>
    <row r="121" spans="1:19" x14ac:dyDescent="0.25">
      <c r="A121" s="17">
        <v>120</v>
      </c>
      <c r="B121" s="18" t="s">
        <v>15</v>
      </c>
      <c r="C121" s="18" t="s">
        <v>15</v>
      </c>
      <c r="D121" s="18" t="s">
        <v>15</v>
      </c>
      <c r="E121" s="18" t="s">
        <v>15</v>
      </c>
      <c r="F121" s="18" t="s">
        <v>15</v>
      </c>
      <c r="G121" s="18" t="s">
        <v>15</v>
      </c>
      <c r="H121" s="18" t="s">
        <v>15</v>
      </c>
      <c r="I121" s="18" t="s">
        <v>15</v>
      </c>
      <c r="J121" s="18" t="s">
        <v>3072</v>
      </c>
      <c r="K121" s="18" t="s">
        <v>15</v>
      </c>
      <c r="L121" s="18" t="s">
        <v>15</v>
      </c>
      <c r="M121" s="18" t="s">
        <v>15</v>
      </c>
      <c r="N121" s="18" t="s">
        <v>15</v>
      </c>
      <c r="O121" s="18" t="s">
        <v>15</v>
      </c>
      <c r="P121" s="18" t="s">
        <v>15</v>
      </c>
      <c r="Q121" s="18" t="s">
        <v>15</v>
      </c>
      <c r="R121" s="18" t="s">
        <v>15</v>
      </c>
      <c r="S121" s="18" t="s">
        <v>15</v>
      </c>
    </row>
    <row r="122" spans="1:19" x14ac:dyDescent="0.25">
      <c r="A122" s="17">
        <v>121</v>
      </c>
      <c r="B122" s="18" t="s">
        <v>15</v>
      </c>
      <c r="C122" s="18" t="s">
        <v>15</v>
      </c>
      <c r="D122" s="18" t="s">
        <v>15</v>
      </c>
      <c r="E122" s="18" t="s">
        <v>15</v>
      </c>
      <c r="F122" s="18" t="s">
        <v>15</v>
      </c>
      <c r="G122" s="18" t="s">
        <v>15</v>
      </c>
      <c r="H122" s="18" t="s">
        <v>15</v>
      </c>
      <c r="I122" s="18" t="s">
        <v>15</v>
      </c>
      <c r="J122" s="18" t="s">
        <v>3073</v>
      </c>
      <c r="K122" s="18" t="s">
        <v>15</v>
      </c>
      <c r="L122" s="18" t="s">
        <v>15</v>
      </c>
      <c r="M122" s="18" t="s">
        <v>15</v>
      </c>
      <c r="N122" s="18" t="s">
        <v>15</v>
      </c>
      <c r="O122" s="18" t="s">
        <v>15</v>
      </c>
      <c r="P122" s="18" t="s">
        <v>15</v>
      </c>
      <c r="Q122" s="18" t="s">
        <v>15</v>
      </c>
      <c r="R122" s="18" t="s">
        <v>15</v>
      </c>
      <c r="S122" s="18" t="s">
        <v>15</v>
      </c>
    </row>
    <row r="123" spans="1:19" x14ac:dyDescent="0.25">
      <c r="A123" s="17">
        <v>122</v>
      </c>
      <c r="B123" s="18" t="s">
        <v>15</v>
      </c>
      <c r="C123" s="18" t="s">
        <v>15</v>
      </c>
      <c r="D123" s="18" t="s">
        <v>15</v>
      </c>
      <c r="E123" s="18" t="s">
        <v>15</v>
      </c>
      <c r="F123" s="18" t="s">
        <v>15</v>
      </c>
      <c r="G123" s="18" t="s">
        <v>15</v>
      </c>
      <c r="H123" s="18" t="s">
        <v>15</v>
      </c>
      <c r="I123" s="18" t="s">
        <v>15</v>
      </c>
      <c r="J123" s="18" t="s">
        <v>3074</v>
      </c>
      <c r="K123" s="18" t="s">
        <v>15</v>
      </c>
      <c r="L123" s="18" t="s">
        <v>15</v>
      </c>
      <c r="M123" s="18" t="s">
        <v>15</v>
      </c>
      <c r="N123" s="18" t="s">
        <v>15</v>
      </c>
      <c r="O123" s="18" t="s">
        <v>15</v>
      </c>
      <c r="P123" s="18" t="s">
        <v>15</v>
      </c>
      <c r="Q123" s="18" t="s">
        <v>15</v>
      </c>
      <c r="R123" s="18" t="s">
        <v>15</v>
      </c>
      <c r="S123" s="18" t="s">
        <v>15</v>
      </c>
    </row>
    <row r="124" spans="1:19" x14ac:dyDescent="0.25">
      <c r="A124" s="17">
        <v>123</v>
      </c>
      <c r="B124" s="18" t="s">
        <v>15</v>
      </c>
      <c r="C124" s="18" t="s">
        <v>15</v>
      </c>
      <c r="D124" s="18" t="s">
        <v>15</v>
      </c>
      <c r="E124" s="18" t="s">
        <v>15</v>
      </c>
      <c r="F124" s="18" t="s">
        <v>15</v>
      </c>
      <c r="G124" s="18" t="s">
        <v>15</v>
      </c>
      <c r="H124" s="18" t="s">
        <v>15</v>
      </c>
      <c r="I124" s="18" t="s">
        <v>15</v>
      </c>
      <c r="J124" s="18" t="s">
        <v>3075</v>
      </c>
      <c r="K124" s="18" t="s">
        <v>15</v>
      </c>
      <c r="L124" s="18" t="s">
        <v>15</v>
      </c>
      <c r="M124" s="18" t="s">
        <v>15</v>
      </c>
      <c r="N124" s="18" t="s">
        <v>15</v>
      </c>
      <c r="O124" s="18" t="s">
        <v>15</v>
      </c>
      <c r="P124" s="18" t="s">
        <v>15</v>
      </c>
      <c r="Q124" s="18" t="s">
        <v>15</v>
      </c>
      <c r="R124" s="18" t="s">
        <v>15</v>
      </c>
      <c r="S124" s="18" t="s">
        <v>15</v>
      </c>
    </row>
    <row r="125" spans="1:19" x14ac:dyDescent="0.25">
      <c r="A125" s="17">
        <v>124</v>
      </c>
      <c r="B125" s="18" t="s">
        <v>15</v>
      </c>
      <c r="C125" s="18" t="s">
        <v>15</v>
      </c>
      <c r="D125" s="18" t="s">
        <v>15</v>
      </c>
      <c r="E125" s="18" t="s">
        <v>15</v>
      </c>
      <c r="F125" s="18" t="s">
        <v>15</v>
      </c>
      <c r="G125" s="18" t="s">
        <v>15</v>
      </c>
      <c r="H125" s="18" t="s">
        <v>15</v>
      </c>
      <c r="I125" s="18" t="s">
        <v>15</v>
      </c>
      <c r="J125" s="18" t="s">
        <v>3076</v>
      </c>
      <c r="K125" s="18" t="s">
        <v>15</v>
      </c>
      <c r="L125" s="18" t="s">
        <v>15</v>
      </c>
      <c r="M125" s="18" t="s">
        <v>15</v>
      </c>
      <c r="N125" s="18" t="s">
        <v>15</v>
      </c>
      <c r="O125" s="18" t="s">
        <v>15</v>
      </c>
      <c r="P125" s="18" t="s">
        <v>15</v>
      </c>
      <c r="Q125" s="18" t="s">
        <v>15</v>
      </c>
      <c r="R125" s="18" t="s">
        <v>15</v>
      </c>
      <c r="S125" s="18" t="s">
        <v>15</v>
      </c>
    </row>
    <row r="126" spans="1:19" x14ac:dyDescent="0.25">
      <c r="A126" s="17">
        <v>125</v>
      </c>
      <c r="B126" s="18" t="s">
        <v>15</v>
      </c>
      <c r="C126" s="18" t="s">
        <v>15</v>
      </c>
      <c r="D126" s="18" t="s">
        <v>15</v>
      </c>
      <c r="E126" s="18" t="s">
        <v>15</v>
      </c>
      <c r="F126" s="18" t="s">
        <v>15</v>
      </c>
      <c r="G126" s="18" t="s">
        <v>15</v>
      </c>
      <c r="H126" s="18" t="s">
        <v>15</v>
      </c>
      <c r="I126" s="18" t="s">
        <v>15</v>
      </c>
      <c r="J126" s="18" t="s">
        <v>2950</v>
      </c>
      <c r="K126" s="18" t="s">
        <v>15</v>
      </c>
      <c r="L126" s="18" t="s">
        <v>15</v>
      </c>
      <c r="M126" s="18" t="s">
        <v>15</v>
      </c>
      <c r="N126" s="18" t="s">
        <v>15</v>
      </c>
      <c r="O126" s="18" t="s">
        <v>15</v>
      </c>
      <c r="P126" s="18" t="s">
        <v>15</v>
      </c>
      <c r="Q126" s="18" t="s">
        <v>15</v>
      </c>
      <c r="R126" s="18" t="s">
        <v>15</v>
      </c>
      <c r="S126" s="18" t="s">
        <v>15</v>
      </c>
    </row>
    <row r="127" spans="1:19" x14ac:dyDescent="0.25">
      <c r="A127" s="17">
        <v>126</v>
      </c>
      <c r="B127" s="18" t="s">
        <v>15</v>
      </c>
      <c r="C127" s="18" t="s">
        <v>15</v>
      </c>
      <c r="D127" s="18" t="s">
        <v>15</v>
      </c>
      <c r="E127" s="18" t="s">
        <v>15</v>
      </c>
      <c r="F127" s="18" t="s">
        <v>15</v>
      </c>
      <c r="G127" s="18" t="s">
        <v>15</v>
      </c>
      <c r="H127" s="18" t="s">
        <v>15</v>
      </c>
      <c r="I127" s="18" t="s">
        <v>15</v>
      </c>
      <c r="J127" s="18" t="s">
        <v>3077</v>
      </c>
      <c r="K127" s="18" t="s">
        <v>15</v>
      </c>
      <c r="L127" s="18" t="s">
        <v>15</v>
      </c>
      <c r="M127" s="18" t="s">
        <v>15</v>
      </c>
      <c r="N127" s="18" t="s">
        <v>15</v>
      </c>
      <c r="O127" s="18" t="s">
        <v>15</v>
      </c>
      <c r="P127" s="18" t="s">
        <v>15</v>
      </c>
      <c r="Q127" s="18" t="s">
        <v>15</v>
      </c>
      <c r="R127" s="18" t="s">
        <v>15</v>
      </c>
      <c r="S127" s="18" t="s">
        <v>15</v>
      </c>
    </row>
    <row r="128" spans="1:19" x14ac:dyDescent="0.25">
      <c r="A128" s="17">
        <v>127</v>
      </c>
      <c r="B128" s="18" t="s">
        <v>15</v>
      </c>
      <c r="C128" s="18" t="s">
        <v>15</v>
      </c>
      <c r="D128" s="18" t="s">
        <v>15</v>
      </c>
      <c r="E128" s="18" t="s">
        <v>15</v>
      </c>
      <c r="F128" s="18" t="s">
        <v>15</v>
      </c>
      <c r="G128" s="18" t="s">
        <v>15</v>
      </c>
      <c r="H128" s="18" t="s">
        <v>15</v>
      </c>
      <c r="I128" s="18" t="s">
        <v>15</v>
      </c>
      <c r="J128" s="18" t="s">
        <v>3078</v>
      </c>
      <c r="K128" s="18" t="s">
        <v>15</v>
      </c>
      <c r="L128" s="18" t="s">
        <v>15</v>
      </c>
      <c r="M128" s="18" t="s">
        <v>15</v>
      </c>
      <c r="N128" s="18" t="s">
        <v>15</v>
      </c>
      <c r="O128" s="18" t="s">
        <v>15</v>
      </c>
      <c r="P128" s="18" t="s">
        <v>15</v>
      </c>
      <c r="Q128" s="18" t="s">
        <v>15</v>
      </c>
      <c r="R128" s="18" t="s">
        <v>15</v>
      </c>
      <c r="S128" s="18" t="s">
        <v>15</v>
      </c>
    </row>
    <row r="129" spans="1:19" x14ac:dyDescent="0.25">
      <c r="A129" s="17">
        <v>128</v>
      </c>
      <c r="B129" s="18" t="s">
        <v>15</v>
      </c>
      <c r="C129" s="18" t="s">
        <v>15</v>
      </c>
      <c r="D129" s="18" t="s">
        <v>15</v>
      </c>
      <c r="E129" s="18" t="s">
        <v>15</v>
      </c>
      <c r="F129" s="18" t="s">
        <v>15</v>
      </c>
      <c r="G129" s="18" t="s">
        <v>15</v>
      </c>
      <c r="H129" s="18" t="s">
        <v>15</v>
      </c>
      <c r="I129" s="18" t="s">
        <v>15</v>
      </c>
      <c r="J129" s="18" t="s">
        <v>3079</v>
      </c>
      <c r="K129" s="18" t="s">
        <v>15</v>
      </c>
      <c r="L129" s="18" t="s">
        <v>15</v>
      </c>
      <c r="M129" s="18" t="s">
        <v>15</v>
      </c>
      <c r="N129" s="18" t="s">
        <v>15</v>
      </c>
      <c r="O129" s="18" t="s">
        <v>15</v>
      </c>
      <c r="P129" s="18" t="s">
        <v>15</v>
      </c>
      <c r="Q129" s="18" t="s">
        <v>15</v>
      </c>
      <c r="R129" s="18" t="s">
        <v>15</v>
      </c>
      <c r="S129" s="18" t="s">
        <v>15</v>
      </c>
    </row>
    <row r="130" spans="1:19" x14ac:dyDescent="0.25">
      <c r="A130" s="17">
        <v>129</v>
      </c>
      <c r="B130" s="18" t="s">
        <v>15</v>
      </c>
      <c r="C130" s="18" t="s">
        <v>15</v>
      </c>
      <c r="D130" s="18" t="s">
        <v>15</v>
      </c>
      <c r="E130" s="18" t="s">
        <v>15</v>
      </c>
      <c r="F130" s="18" t="s">
        <v>15</v>
      </c>
      <c r="G130" s="18" t="s">
        <v>15</v>
      </c>
      <c r="H130" s="18" t="s">
        <v>15</v>
      </c>
      <c r="I130" s="18" t="s">
        <v>15</v>
      </c>
      <c r="J130" s="18" t="s">
        <v>2868</v>
      </c>
      <c r="K130" s="18" t="s">
        <v>15</v>
      </c>
      <c r="L130" s="18" t="s">
        <v>15</v>
      </c>
      <c r="M130" s="18" t="s">
        <v>15</v>
      </c>
      <c r="N130" s="18" t="s">
        <v>15</v>
      </c>
      <c r="O130" s="18" t="s">
        <v>15</v>
      </c>
      <c r="P130" s="18" t="s">
        <v>15</v>
      </c>
      <c r="Q130" s="18" t="s">
        <v>15</v>
      </c>
      <c r="R130" s="18" t="s">
        <v>15</v>
      </c>
      <c r="S130" s="18" t="s">
        <v>15</v>
      </c>
    </row>
    <row r="131" spans="1:19" x14ac:dyDescent="0.25">
      <c r="A131" s="17">
        <v>130</v>
      </c>
      <c r="B131" s="18" t="s">
        <v>15</v>
      </c>
      <c r="C131" s="18" t="s">
        <v>15</v>
      </c>
      <c r="D131" s="18" t="s">
        <v>15</v>
      </c>
      <c r="E131" s="18" t="s">
        <v>15</v>
      </c>
      <c r="F131" s="18" t="s">
        <v>15</v>
      </c>
      <c r="G131" s="18" t="s">
        <v>15</v>
      </c>
      <c r="H131" s="18" t="s">
        <v>15</v>
      </c>
      <c r="I131" s="18" t="s">
        <v>15</v>
      </c>
      <c r="J131" s="18" t="s">
        <v>3080</v>
      </c>
      <c r="K131" s="18" t="s">
        <v>15</v>
      </c>
      <c r="L131" s="18" t="s">
        <v>15</v>
      </c>
      <c r="M131" s="18" t="s">
        <v>15</v>
      </c>
      <c r="N131" s="18" t="s">
        <v>15</v>
      </c>
      <c r="O131" s="18" t="s">
        <v>15</v>
      </c>
      <c r="P131" s="18" t="s">
        <v>15</v>
      </c>
      <c r="Q131" s="18" t="s">
        <v>15</v>
      </c>
      <c r="R131" s="18" t="s">
        <v>15</v>
      </c>
      <c r="S131" s="18" t="s">
        <v>15</v>
      </c>
    </row>
    <row r="132" spans="1:19" x14ac:dyDescent="0.25">
      <c r="A132" s="17">
        <v>131</v>
      </c>
      <c r="B132" s="18" t="s">
        <v>15</v>
      </c>
      <c r="C132" s="18" t="s">
        <v>15</v>
      </c>
      <c r="D132" s="18" t="s">
        <v>15</v>
      </c>
      <c r="E132" s="18" t="s">
        <v>15</v>
      </c>
      <c r="F132" s="18" t="s">
        <v>15</v>
      </c>
      <c r="G132" s="18" t="s">
        <v>15</v>
      </c>
      <c r="H132" s="18" t="s">
        <v>15</v>
      </c>
      <c r="I132" s="18" t="s">
        <v>15</v>
      </c>
      <c r="J132" s="18" t="s">
        <v>3081</v>
      </c>
      <c r="K132" s="18" t="s">
        <v>15</v>
      </c>
      <c r="L132" s="18" t="s">
        <v>15</v>
      </c>
      <c r="M132" s="18" t="s">
        <v>15</v>
      </c>
      <c r="N132" s="18" t="s">
        <v>15</v>
      </c>
      <c r="O132" s="18" t="s">
        <v>15</v>
      </c>
      <c r="P132" s="18" t="s">
        <v>15</v>
      </c>
      <c r="Q132" s="18" t="s">
        <v>15</v>
      </c>
      <c r="R132" s="18" t="s">
        <v>15</v>
      </c>
      <c r="S132" s="18" t="s">
        <v>15</v>
      </c>
    </row>
    <row r="133" spans="1:19" x14ac:dyDescent="0.25">
      <c r="A133" s="17">
        <v>132</v>
      </c>
      <c r="B133" s="18" t="s">
        <v>15</v>
      </c>
      <c r="C133" s="18" t="s">
        <v>15</v>
      </c>
      <c r="D133" s="18" t="s">
        <v>15</v>
      </c>
      <c r="E133" s="18" t="s">
        <v>15</v>
      </c>
      <c r="F133" s="18" t="s">
        <v>15</v>
      </c>
      <c r="G133" s="18" t="s">
        <v>15</v>
      </c>
      <c r="H133" s="18" t="s">
        <v>15</v>
      </c>
      <c r="I133" s="18" t="s">
        <v>15</v>
      </c>
      <c r="J133" s="18" t="s">
        <v>3082</v>
      </c>
      <c r="K133" s="18" t="s">
        <v>15</v>
      </c>
      <c r="L133" s="18" t="s">
        <v>15</v>
      </c>
      <c r="M133" s="18" t="s">
        <v>15</v>
      </c>
      <c r="N133" s="18" t="s">
        <v>15</v>
      </c>
      <c r="O133" s="18" t="s">
        <v>15</v>
      </c>
      <c r="P133" s="18" t="s">
        <v>15</v>
      </c>
      <c r="Q133" s="18" t="s">
        <v>15</v>
      </c>
      <c r="R133" s="18" t="s">
        <v>15</v>
      </c>
      <c r="S133" s="18" t="s">
        <v>15</v>
      </c>
    </row>
    <row r="134" spans="1:19" x14ac:dyDescent="0.25">
      <c r="A134" s="17">
        <v>133</v>
      </c>
      <c r="B134" s="18" t="s">
        <v>15</v>
      </c>
      <c r="C134" s="18" t="s">
        <v>15</v>
      </c>
      <c r="D134" s="18" t="s">
        <v>15</v>
      </c>
      <c r="E134" s="18" t="s">
        <v>15</v>
      </c>
      <c r="F134" s="18" t="s">
        <v>15</v>
      </c>
      <c r="G134" s="18" t="s">
        <v>15</v>
      </c>
      <c r="H134" s="18" t="s">
        <v>15</v>
      </c>
      <c r="I134" s="18" t="s">
        <v>15</v>
      </c>
      <c r="J134" s="18" t="s">
        <v>3007</v>
      </c>
      <c r="K134" s="18" t="s">
        <v>15</v>
      </c>
      <c r="L134" s="18" t="s">
        <v>15</v>
      </c>
      <c r="M134" s="18" t="s">
        <v>15</v>
      </c>
      <c r="N134" s="18" t="s">
        <v>15</v>
      </c>
      <c r="O134" s="18" t="s">
        <v>15</v>
      </c>
      <c r="P134" s="18" t="s">
        <v>15</v>
      </c>
      <c r="Q134" s="18" t="s">
        <v>15</v>
      </c>
      <c r="R134" s="18" t="s">
        <v>15</v>
      </c>
      <c r="S134" s="18" t="s">
        <v>15</v>
      </c>
    </row>
    <row r="135" spans="1:19" x14ac:dyDescent="0.25">
      <c r="A135" s="17">
        <v>134</v>
      </c>
      <c r="B135" s="18" t="s">
        <v>15</v>
      </c>
      <c r="C135" s="18" t="s">
        <v>15</v>
      </c>
      <c r="D135" s="18" t="s">
        <v>15</v>
      </c>
      <c r="E135" s="18" t="s">
        <v>15</v>
      </c>
      <c r="F135" s="18" t="s">
        <v>15</v>
      </c>
      <c r="G135" s="18" t="s">
        <v>15</v>
      </c>
      <c r="H135" s="18" t="s">
        <v>15</v>
      </c>
      <c r="I135" s="18" t="s">
        <v>15</v>
      </c>
      <c r="J135" s="18" t="s">
        <v>3083</v>
      </c>
      <c r="K135" s="18" t="s">
        <v>15</v>
      </c>
      <c r="L135" s="18" t="s">
        <v>15</v>
      </c>
      <c r="M135" s="18" t="s">
        <v>15</v>
      </c>
      <c r="N135" s="18" t="s">
        <v>15</v>
      </c>
      <c r="O135" s="18" t="s">
        <v>15</v>
      </c>
      <c r="P135" s="18" t="s">
        <v>15</v>
      </c>
      <c r="Q135" s="18" t="s">
        <v>15</v>
      </c>
      <c r="R135" s="18" t="s">
        <v>15</v>
      </c>
      <c r="S135" s="18" t="s">
        <v>15</v>
      </c>
    </row>
    <row r="136" spans="1:19" x14ac:dyDescent="0.25">
      <c r="A136" s="17">
        <v>135</v>
      </c>
      <c r="B136" s="18" t="s">
        <v>15</v>
      </c>
      <c r="C136" s="18" t="s">
        <v>15</v>
      </c>
      <c r="D136" s="18" t="s">
        <v>15</v>
      </c>
      <c r="E136" s="18" t="s">
        <v>15</v>
      </c>
      <c r="F136" s="18" t="s">
        <v>15</v>
      </c>
      <c r="G136" s="18" t="s">
        <v>15</v>
      </c>
      <c r="H136" s="18" t="s">
        <v>15</v>
      </c>
      <c r="I136" s="18" t="s">
        <v>15</v>
      </c>
      <c r="J136" s="18" t="s">
        <v>3084</v>
      </c>
      <c r="K136" s="18" t="s">
        <v>15</v>
      </c>
      <c r="L136" s="18" t="s">
        <v>15</v>
      </c>
      <c r="M136" s="18" t="s">
        <v>15</v>
      </c>
      <c r="N136" s="18" t="s">
        <v>15</v>
      </c>
      <c r="O136" s="18" t="s">
        <v>15</v>
      </c>
      <c r="P136" s="18" t="s">
        <v>15</v>
      </c>
      <c r="Q136" s="18" t="s">
        <v>15</v>
      </c>
      <c r="R136" s="18" t="s">
        <v>15</v>
      </c>
      <c r="S136" s="18" t="s">
        <v>15</v>
      </c>
    </row>
    <row r="137" spans="1:19" x14ac:dyDescent="0.25">
      <c r="A137" s="17">
        <v>136</v>
      </c>
      <c r="B137" s="18" t="s">
        <v>15</v>
      </c>
      <c r="C137" s="18" t="s">
        <v>15</v>
      </c>
      <c r="D137" s="18" t="s">
        <v>15</v>
      </c>
      <c r="E137" s="18" t="s">
        <v>15</v>
      </c>
      <c r="F137" s="18" t="s">
        <v>15</v>
      </c>
      <c r="G137" s="18" t="s">
        <v>15</v>
      </c>
      <c r="H137" s="18" t="s">
        <v>15</v>
      </c>
      <c r="I137" s="18" t="s">
        <v>15</v>
      </c>
      <c r="J137" s="18" t="s">
        <v>3085</v>
      </c>
      <c r="K137" s="18" t="s">
        <v>15</v>
      </c>
      <c r="L137" s="18" t="s">
        <v>15</v>
      </c>
      <c r="M137" s="18" t="s">
        <v>15</v>
      </c>
      <c r="N137" s="18" t="s">
        <v>15</v>
      </c>
      <c r="O137" s="18" t="s">
        <v>15</v>
      </c>
      <c r="P137" s="18" t="s">
        <v>15</v>
      </c>
      <c r="Q137" s="18" t="s">
        <v>15</v>
      </c>
      <c r="R137" s="18" t="s">
        <v>15</v>
      </c>
      <c r="S137" s="18" t="s">
        <v>15</v>
      </c>
    </row>
    <row r="138" spans="1:19" x14ac:dyDescent="0.25">
      <c r="A138" s="17">
        <v>137</v>
      </c>
      <c r="B138" s="18" t="s">
        <v>15</v>
      </c>
      <c r="C138" s="18" t="s">
        <v>15</v>
      </c>
      <c r="D138" s="18" t="s">
        <v>15</v>
      </c>
      <c r="E138" s="18" t="s">
        <v>15</v>
      </c>
      <c r="F138" s="18" t="s">
        <v>15</v>
      </c>
      <c r="G138" s="18" t="s">
        <v>15</v>
      </c>
      <c r="H138" s="18" t="s">
        <v>15</v>
      </c>
      <c r="I138" s="18" t="s">
        <v>15</v>
      </c>
      <c r="J138" s="18" t="s">
        <v>3019</v>
      </c>
      <c r="K138" s="18" t="s">
        <v>15</v>
      </c>
      <c r="L138" s="18" t="s">
        <v>15</v>
      </c>
      <c r="M138" s="18" t="s">
        <v>15</v>
      </c>
      <c r="N138" s="18" t="s">
        <v>15</v>
      </c>
      <c r="O138" s="18" t="s">
        <v>15</v>
      </c>
      <c r="P138" s="18" t="s">
        <v>15</v>
      </c>
      <c r="Q138" s="18" t="s">
        <v>15</v>
      </c>
      <c r="R138" s="18" t="s">
        <v>15</v>
      </c>
      <c r="S138" s="18" t="s">
        <v>15</v>
      </c>
    </row>
    <row r="139" spans="1:19" x14ac:dyDescent="0.25">
      <c r="A139" s="17">
        <v>138</v>
      </c>
      <c r="B139" s="18" t="s">
        <v>15</v>
      </c>
      <c r="C139" s="18" t="s">
        <v>15</v>
      </c>
      <c r="D139" s="18" t="s">
        <v>15</v>
      </c>
      <c r="E139" s="18" t="s">
        <v>15</v>
      </c>
      <c r="F139" s="18" t="s">
        <v>15</v>
      </c>
      <c r="G139" s="18" t="s">
        <v>15</v>
      </c>
      <c r="H139" s="18" t="s">
        <v>15</v>
      </c>
      <c r="I139" s="18" t="s">
        <v>15</v>
      </c>
      <c r="J139" s="18" t="s">
        <v>3086</v>
      </c>
      <c r="K139" s="18" t="s">
        <v>15</v>
      </c>
      <c r="L139" s="18" t="s">
        <v>15</v>
      </c>
      <c r="M139" s="18" t="s">
        <v>15</v>
      </c>
      <c r="N139" s="18" t="s">
        <v>15</v>
      </c>
      <c r="O139" s="18" t="s">
        <v>15</v>
      </c>
      <c r="P139" s="18" t="s">
        <v>15</v>
      </c>
      <c r="Q139" s="18" t="s">
        <v>15</v>
      </c>
      <c r="R139" s="18" t="s">
        <v>15</v>
      </c>
      <c r="S139" s="18" t="s">
        <v>15</v>
      </c>
    </row>
    <row r="140" spans="1:19" x14ac:dyDescent="0.25">
      <c r="A140" s="17">
        <v>139</v>
      </c>
      <c r="B140" s="18" t="s">
        <v>15</v>
      </c>
      <c r="C140" s="18" t="s">
        <v>15</v>
      </c>
      <c r="D140" s="18" t="s">
        <v>15</v>
      </c>
      <c r="E140" s="18" t="s">
        <v>15</v>
      </c>
      <c r="F140" s="18" t="s">
        <v>15</v>
      </c>
      <c r="G140" s="18" t="s">
        <v>15</v>
      </c>
      <c r="H140" s="18" t="s">
        <v>15</v>
      </c>
      <c r="I140" s="18" t="s">
        <v>15</v>
      </c>
      <c r="J140" s="18" t="s">
        <v>2969</v>
      </c>
      <c r="K140" s="18" t="s">
        <v>15</v>
      </c>
      <c r="L140" s="18" t="s">
        <v>15</v>
      </c>
      <c r="M140" s="18" t="s">
        <v>15</v>
      </c>
      <c r="N140" s="18" t="s">
        <v>15</v>
      </c>
      <c r="O140" s="18" t="s">
        <v>15</v>
      </c>
      <c r="P140" s="18" t="s">
        <v>15</v>
      </c>
      <c r="Q140" s="18" t="s">
        <v>15</v>
      </c>
      <c r="R140" s="18" t="s">
        <v>15</v>
      </c>
      <c r="S140" s="18" t="s">
        <v>15</v>
      </c>
    </row>
    <row r="141" spans="1:19" x14ac:dyDescent="0.25">
      <c r="A141" s="17">
        <v>140</v>
      </c>
      <c r="B141" s="18" t="s">
        <v>15</v>
      </c>
      <c r="C141" s="18" t="s">
        <v>15</v>
      </c>
      <c r="D141" s="18" t="s">
        <v>15</v>
      </c>
      <c r="E141" s="18" t="s">
        <v>15</v>
      </c>
      <c r="F141" s="18" t="s">
        <v>15</v>
      </c>
      <c r="G141" s="18" t="s">
        <v>15</v>
      </c>
      <c r="H141" s="18" t="s">
        <v>15</v>
      </c>
      <c r="I141" s="18" t="s">
        <v>15</v>
      </c>
      <c r="J141" s="18" t="s">
        <v>3087</v>
      </c>
      <c r="K141" s="18" t="s">
        <v>15</v>
      </c>
      <c r="L141" s="18" t="s">
        <v>15</v>
      </c>
      <c r="M141" s="18" t="s">
        <v>15</v>
      </c>
      <c r="N141" s="18" t="s">
        <v>15</v>
      </c>
      <c r="O141" s="18" t="s">
        <v>15</v>
      </c>
      <c r="P141" s="18" t="s">
        <v>15</v>
      </c>
      <c r="Q141" s="18" t="s">
        <v>15</v>
      </c>
      <c r="R141" s="18" t="s">
        <v>15</v>
      </c>
      <c r="S141" s="18" t="s">
        <v>15</v>
      </c>
    </row>
    <row r="142" spans="1:19" x14ac:dyDescent="0.25">
      <c r="A142" s="17">
        <v>141</v>
      </c>
      <c r="B142" s="18" t="s">
        <v>15</v>
      </c>
      <c r="C142" s="18" t="s">
        <v>15</v>
      </c>
      <c r="D142" s="18" t="s">
        <v>15</v>
      </c>
      <c r="E142" s="18" t="s">
        <v>15</v>
      </c>
      <c r="F142" s="18" t="s">
        <v>15</v>
      </c>
      <c r="G142" s="18" t="s">
        <v>15</v>
      </c>
      <c r="H142" s="18" t="s">
        <v>15</v>
      </c>
      <c r="I142" s="18" t="s">
        <v>15</v>
      </c>
      <c r="J142" s="18" t="s">
        <v>3038</v>
      </c>
      <c r="K142" s="18" t="s">
        <v>15</v>
      </c>
      <c r="L142" s="18" t="s">
        <v>15</v>
      </c>
      <c r="M142" s="18" t="s">
        <v>15</v>
      </c>
      <c r="N142" s="18" t="s">
        <v>15</v>
      </c>
      <c r="O142" s="18" t="s">
        <v>15</v>
      </c>
      <c r="P142" s="18" t="s">
        <v>15</v>
      </c>
      <c r="Q142" s="18" t="s">
        <v>15</v>
      </c>
      <c r="R142" s="18" t="s">
        <v>15</v>
      </c>
      <c r="S142" s="18" t="s">
        <v>15</v>
      </c>
    </row>
    <row r="143" spans="1:19" x14ac:dyDescent="0.25">
      <c r="A143" s="17">
        <v>142</v>
      </c>
      <c r="B143" s="18" t="s">
        <v>15</v>
      </c>
      <c r="C143" s="18" t="s">
        <v>15</v>
      </c>
      <c r="D143" s="18" t="s">
        <v>15</v>
      </c>
      <c r="E143" s="18" t="s">
        <v>15</v>
      </c>
      <c r="F143" s="18" t="s">
        <v>15</v>
      </c>
      <c r="G143" s="18" t="s">
        <v>15</v>
      </c>
      <c r="H143" s="18" t="s">
        <v>15</v>
      </c>
      <c r="I143" s="18" t="s">
        <v>15</v>
      </c>
      <c r="J143" s="18" t="s">
        <v>3088</v>
      </c>
      <c r="K143" s="18" t="s">
        <v>15</v>
      </c>
      <c r="L143" s="18" t="s">
        <v>15</v>
      </c>
      <c r="M143" s="18" t="s">
        <v>15</v>
      </c>
      <c r="N143" s="18" t="s">
        <v>15</v>
      </c>
      <c r="O143" s="18" t="s">
        <v>15</v>
      </c>
      <c r="P143" s="18" t="s">
        <v>15</v>
      </c>
      <c r="Q143" s="18" t="s">
        <v>15</v>
      </c>
      <c r="R143" s="18" t="s">
        <v>15</v>
      </c>
      <c r="S143" s="18" t="s">
        <v>15</v>
      </c>
    </row>
    <row r="144" spans="1:19" x14ac:dyDescent="0.25">
      <c r="A144" s="17">
        <v>143</v>
      </c>
      <c r="B144" s="18" t="s">
        <v>15</v>
      </c>
      <c r="C144" s="18" t="s">
        <v>15</v>
      </c>
      <c r="D144" s="18" t="s">
        <v>15</v>
      </c>
      <c r="E144" s="18" t="s">
        <v>15</v>
      </c>
      <c r="F144" s="18" t="s">
        <v>15</v>
      </c>
      <c r="G144" s="18" t="s">
        <v>15</v>
      </c>
      <c r="H144" s="18" t="s">
        <v>15</v>
      </c>
      <c r="I144" s="18" t="s">
        <v>15</v>
      </c>
      <c r="J144" s="18" t="s">
        <v>3089</v>
      </c>
      <c r="K144" s="18" t="s">
        <v>15</v>
      </c>
      <c r="L144" s="18" t="s">
        <v>15</v>
      </c>
      <c r="M144" s="18" t="s">
        <v>15</v>
      </c>
      <c r="N144" s="18" t="s">
        <v>15</v>
      </c>
      <c r="O144" s="18" t="s">
        <v>15</v>
      </c>
      <c r="P144" s="18" t="s">
        <v>15</v>
      </c>
      <c r="Q144" s="18" t="s">
        <v>15</v>
      </c>
      <c r="R144" s="18" t="s">
        <v>15</v>
      </c>
      <c r="S144" s="18" t="s">
        <v>15</v>
      </c>
    </row>
    <row r="145" spans="1:19" x14ac:dyDescent="0.25">
      <c r="A145" s="17">
        <v>144</v>
      </c>
      <c r="B145" s="18" t="s">
        <v>15</v>
      </c>
      <c r="C145" s="18" t="s">
        <v>15</v>
      </c>
      <c r="D145" s="18" t="s">
        <v>15</v>
      </c>
      <c r="E145" s="18" t="s">
        <v>15</v>
      </c>
      <c r="F145" s="18" t="s">
        <v>15</v>
      </c>
      <c r="G145" s="18" t="s">
        <v>15</v>
      </c>
      <c r="H145" s="18" t="s">
        <v>15</v>
      </c>
      <c r="I145" s="18" t="s">
        <v>15</v>
      </c>
      <c r="J145" s="18" t="s">
        <v>3090</v>
      </c>
      <c r="K145" s="18" t="s">
        <v>15</v>
      </c>
      <c r="L145" s="18" t="s">
        <v>15</v>
      </c>
      <c r="M145" s="18" t="s">
        <v>15</v>
      </c>
      <c r="N145" s="18" t="s">
        <v>15</v>
      </c>
      <c r="O145" s="18" t="s">
        <v>15</v>
      </c>
      <c r="P145" s="18" t="s">
        <v>15</v>
      </c>
      <c r="Q145" s="18" t="s">
        <v>15</v>
      </c>
      <c r="R145" s="18" t="s">
        <v>15</v>
      </c>
      <c r="S145" s="18" t="s">
        <v>15</v>
      </c>
    </row>
    <row r="146" spans="1:19" x14ac:dyDescent="0.25">
      <c r="A146" s="17">
        <v>145</v>
      </c>
      <c r="B146" s="18" t="s">
        <v>15</v>
      </c>
      <c r="C146" s="18" t="s">
        <v>15</v>
      </c>
      <c r="D146" s="18" t="s">
        <v>15</v>
      </c>
      <c r="E146" s="18" t="s">
        <v>15</v>
      </c>
      <c r="F146" s="18" t="s">
        <v>15</v>
      </c>
      <c r="G146" s="18" t="s">
        <v>15</v>
      </c>
      <c r="H146" s="18" t="s">
        <v>15</v>
      </c>
      <c r="I146" s="18" t="s">
        <v>15</v>
      </c>
      <c r="J146" s="18" t="s">
        <v>2961</v>
      </c>
      <c r="K146" s="18" t="s">
        <v>15</v>
      </c>
      <c r="L146" s="18" t="s">
        <v>15</v>
      </c>
      <c r="M146" s="18" t="s">
        <v>15</v>
      </c>
      <c r="N146" s="18" t="s">
        <v>15</v>
      </c>
      <c r="O146" s="18" t="s">
        <v>15</v>
      </c>
      <c r="P146" s="18" t="s">
        <v>15</v>
      </c>
      <c r="Q146" s="18" t="s">
        <v>15</v>
      </c>
      <c r="R146" s="18" t="s">
        <v>15</v>
      </c>
      <c r="S146" s="18" t="s">
        <v>15</v>
      </c>
    </row>
    <row r="147" spans="1:19" x14ac:dyDescent="0.25">
      <c r="A147" s="17">
        <v>146</v>
      </c>
      <c r="B147" s="18" t="s">
        <v>15</v>
      </c>
      <c r="C147" s="18" t="s">
        <v>15</v>
      </c>
      <c r="D147" s="18" t="s">
        <v>15</v>
      </c>
      <c r="E147" s="18" t="s">
        <v>15</v>
      </c>
      <c r="F147" s="18" t="s">
        <v>15</v>
      </c>
      <c r="G147" s="18" t="s">
        <v>15</v>
      </c>
      <c r="H147" s="18" t="s">
        <v>15</v>
      </c>
      <c r="I147" s="18" t="s">
        <v>15</v>
      </c>
      <c r="J147" s="18" t="s">
        <v>3091</v>
      </c>
      <c r="K147" s="18" t="s">
        <v>15</v>
      </c>
      <c r="L147" s="18" t="s">
        <v>15</v>
      </c>
      <c r="M147" s="18" t="s">
        <v>15</v>
      </c>
      <c r="N147" s="18" t="s">
        <v>15</v>
      </c>
      <c r="O147" s="18" t="s">
        <v>15</v>
      </c>
      <c r="P147" s="18" t="s">
        <v>15</v>
      </c>
      <c r="Q147" s="18" t="s">
        <v>15</v>
      </c>
      <c r="R147" s="18" t="s">
        <v>15</v>
      </c>
      <c r="S147" s="18" t="s">
        <v>15</v>
      </c>
    </row>
    <row r="148" spans="1:19" x14ac:dyDescent="0.25">
      <c r="A148" s="17">
        <v>147</v>
      </c>
      <c r="B148" s="18" t="s">
        <v>15</v>
      </c>
      <c r="C148" s="18" t="s">
        <v>15</v>
      </c>
      <c r="D148" s="18" t="s">
        <v>15</v>
      </c>
      <c r="E148" s="18" t="s">
        <v>15</v>
      </c>
      <c r="F148" s="18" t="s">
        <v>15</v>
      </c>
      <c r="G148" s="18" t="s">
        <v>15</v>
      </c>
      <c r="H148" s="18" t="s">
        <v>15</v>
      </c>
      <c r="I148" s="18" t="s">
        <v>15</v>
      </c>
      <c r="J148" s="18" t="s">
        <v>3092</v>
      </c>
      <c r="K148" s="18" t="s">
        <v>15</v>
      </c>
      <c r="L148" s="18" t="s">
        <v>15</v>
      </c>
      <c r="M148" s="18" t="s">
        <v>15</v>
      </c>
      <c r="N148" s="18" t="s">
        <v>15</v>
      </c>
      <c r="O148" s="18" t="s">
        <v>15</v>
      </c>
      <c r="P148" s="18" t="s">
        <v>15</v>
      </c>
      <c r="Q148" s="18" t="s">
        <v>15</v>
      </c>
      <c r="R148" s="18" t="s">
        <v>15</v>
      </c>
      <c r="S148" s="18" t="s">
        <v>15</v>
      </c>
    </row>
    <row r="149" spans="1:19" x14ac:dyDescent="0.25">
      <c r="A149" s="17">
        <v>148</v>
      </c>
      <c r="B149" s="18" t="s">
        <v>15</v>
      </c>
      <c r="C149" s="18" t="s">
        <v>15</v>
      </c>
      <c r="D149" s="18" t="s">
        <v>15</v>
      </c>
      <c r="E149" s="18" t="s">
        <v>15</v>
      </c>
      <c r="F149" s="18" t="s">
        <v>15</v>
      </c>
      <c r="G149" s="18" t="s">
        <v>15</v>
      </c>
      <c r="H149" s="18" t="s">
        <v>15</v>
      </c>
      <c r="I149" s="18" t="s">
        <v>15</v>
      </c>
      <c r="J149" s="18" t="s">
        <v>3093</v>
      </c>
      <c r="K149" s="18" t="s">
        <v>15</v>
      </c>
      <c r="L149" s="18" t="s">
        <v>15</v>
      </c>
      <c r="M149" s="18" t="s">
        <v>15</v>
      </c>
      <c r="N149" s="18" t="s">
        <v>15</v>
      </c>
      <c r="O149" s="18" t="s">
        <v>15</v>
      </c>
      <c r="P149" s="18" t="s">
        <v>15</v>
      </c>
      <c r="Q149" s="18" t="s">
        <v>15</v>
      </c>
      <c r="R149" s="18" t="s">
        <v>15</v>
      </c>
      <c r="S149" s="18" t="s">
        <v>15</v>
      </c>
    </row>
    <row r="150" spans="1:19" x14ac:dyDescent="0.25">
      <c r="A150" s="17">
        <v>149</v>
      </c>
      <c r="B150" s="18" t="s">
        <v>15</v>
      </c>
      <c r="C150" s="18" t="s">
        <v>15</v>
      </c>
      <c r="D150" s="18" t="s">
        <v>15</v>
      </c>
      <c r="E150" s="18" t="s">
        <v>15</v>
      </c>
      <c r="F150" s="18" t="s">
        <v>15</v>
      </c>
      <c r="G150" s="18" t="s">
        <v>15</v>
      </c>
      <c r="H150" s="18" t="s">
        <v>15</v>
      </c>
      <c r="I150" s="18" t="s">
        <v>15</v>
      </c>
      <c r="J150" s="18" t="s">
        <v>3094</v>
      </c>
      <c r="K150" s="18" t="s">
        <v>15</v>
      </c>
      <c r="L150" s="18" t="s">
        <v>15</v>
      </c>
      <c r="M150" s="18" t="s">
        <v>15</v>
      </c>
      <c r="N150" s="18" t="s">
        <v>15</v>
      </c>
      <c r="O150" s="18" t="s">
        <v>15</v>
      </c>
      <c r="P150" s="18" t="s">
        <v>15</v>
      </c>
      <c r="Q150" s="18" t="s">
        <v>15</v>
      </c>
      <c r="R150" s="18" t="s">
        <v>15</v>
      </c>
      <c r="S150" s="18" t="s">
        <v>15</v>
      </c>
    </row>
    <row r="151" spans="1:19" x14ac:dyDescent="0.25">
      <c r="A151" s="17">
        <v>150</v>
      </c>
      <c r="B151" s="18" t="s">
        <v>15</v>
      </c>
      <c r="C151" s="18" t="s">
        <v>15</v>
      </c>
      <c r="D151" s="18" t="s">
        <v>15</v>
      </c>
      <c r="E151" s="18" t="s">
        <v>15</v>
      </c>
      <c r="F151" s="18" t="s">
        <v>15</v>
      </c>
      <c r="G151" s="18" t="s">
        <v>15</v>
      </c>
      <c r="H151" s="18" t="s">
        <v>15</v>
      </c>
      <c r="I151" s="18" t="s">
        <v>15</v>
      </c>
      <c r="J151" s="18" t="s">
        <v>3095</v>
      </c>
      <c r="K151" s="18" t="s">
        <v>15</v>
      </c>
      <c r="L151" s="18" t="s">
        <v>15</v>
      </c>
      <c r="M151" s="18" t="s">
        <v>15</v>
      </c>
      <c r="N151" s="18" t="s">
        <v>15</v>
      </c>
      <c r="O151" s="18" t="s">
        <v>15</v>
      </c>
      <c r="P151" s="18" t="s">
        <v>15</v>
      </c>
      <c r="Q151" s="18" t="s">
        <v>15</v>
      </c>
      <c r="R151" s="18" t="s">
        <v>15</v>
      </c>
      <c r="S151" s="18" t="s">
        <v>15</v>
      </c>
    </row>
    <row r="152" spans="1:19" x14ac:dyDescent="0.25">
      <c r="A152" s="17">
        <v>151</v>
      </c>
      <c r="B152" s="18" t="s">
        <v>15</v>
      </c>
      <c r="C152" s="18" t="s">
        <v>15</v>
      </c>
      <c r="D152" s="18" t="s">
        <v>15</v>
      </c>
      <c r="E152" s="18" t="s">
        <v>15</v>
      </c>
      <c r="F152" s="18" t="s">
        <v>15</v>
      </c>
      <c r="G152" s="18" t="s">
        <v>15</v>
      </c>
      <c r="H152" s="18" t="s">
        <v>15</v>
      </c>
      <c r="I152" s="18" t="s">
        <v>15</v>
      </c>
      <c r="J152" s="18" t="s">
        <v>3096</v>
      </c>
      <c r="K152" s="18" t="s">
        <v>15</v>
      </c>
      <c r="L152" s="18" t="s">
        <v>15</v>
      </c>
      <c r="M152" s="18" t="s">
        <v>15</v>
      </c>
      <c r="N152" s="18" t="s">
        <v>15</v>
      </c>
      <c r="O152" s="18" t="s">
        <v>15</v>
      </c>
      <c r="P152" s="18" t="s">
        <v>15</v>
      </c>
      <c r="Q152" s="18" t="s">
        <v>15</v>
      </c>
      <c r="R152" s="18" t="s">
        <v>15</v>
      </c>
      <c r="S152" s="18" t="s">
        <v>15</v>
      </c>
    </row>
    <row r="153" spans="1:19" x14ac:dyDescent="0.25">
      <c r="A153" s="17">
        <v>152</v>
      </c>
      <c r="B153" s="18" t="s">
        <v>15</v>
      </c>
      <c r="C153" s="18" t="s">
        <v>15</v>
      </c>
      <c r="D153" s="18" t="s">
        <v>15</v>
      </c>
      <c r="E153" s="18" t="s">
        <v>15</v>
      </c>
      <c r="F153" s="18" t="s">
        <v>15</v>
      </c>
      <c r="G153" s="18" t="s">
        <v>15</v>
      </c>
      <c r="H153" s="18" t="s">
        <v>15</v>
      </c>
      <c r="I153" s="18" t="s">
        <v>15</v>
      </c>
      <c r="J153" s="18" t="s">
        <v>3097</v>
      </c>
      <c r="K153" s="18" t="s">
        <v>15</v>
      </c>
      <c r="L153" s="18" t="s">
        <v>15</v>
      </c>
      <c r="M153" s="18" t="s">
        <v>15</v>
      </c>
      <c r="N153" s="18" t="s">
        <v>15</v>
      </c>
      <c r="O153" s="18" t="s">
        <v>15</v>
      </c>
      <c r="P153" s="18" t="s">
        <v>15</v>
      </c>
      <c r="Q153" s="18" t="s">
        <v>15</v>
      </c>
      <c r="R153" s="18" t="s">
        <v>15</v>
      </c>
      <c r="S153" s="18" t="s">
        <v>15</v>
      </c>
    </row>
    <row r="154" spans="1:19" x14ac:dyDescent="0.25">
      <c r="A154" s="17">
        <v>153</v>
      </c>
      <c r="B154" s="18" t="s">
        <v>15</v>
      </c>
      <c r="C154" s="18" t="s">
        <v>15</v>
      </c>
      <c r="D154" s="18" t="s">
        <v>15</v>
      </c>
      <c r="E154" s="18" t="s">
        <v>15</v>
      </c>
      <c r="F154" s="18" t="s">
        <v>15</v>
      </c>
      <c r="G154" s="18" t="s">
        <v>15</v>
      </c>
      <c r="H154" s="18" t="s">
        <v>15</v>
      </c>
      <c r="I154" s="18" t="s">
        <v>15</v>
      </c>
      <c r="J154" s="18" t="s">
        <v>2889</v>
      </c>
      <c r="K154" s="18" t="s">
        <v>15</v>
      </c>
      <c r="L154" s="18" t="s">
        <v>15</v>
      </c>
      <c r="M154" s="18" t="s">
        <v>15</v>
      </c>
      <c r="N154" s="18" t="s">
        <v>15</v>
      </c>
      <c r="O154" s="18" t="s">
        <v>15</v>
      </c>
      <c r="P154" s="18" t="s">
        <v>15</v>
      </c>
      <c r="Q154" s="18" t="s">
        <v>15</v>
      </c>
      <c r="R154" s="18" t="s">
        <v>15</v>
      </c>
      <c r="S154" s="18" t="s">
        <v>15</v>
      </c>
    </row>
    <row r="155" spans="1:19" x14ac:dyDescent="0.25">
      <c r="A155" s="17">
        <v>154</v>
      </c>
      <c r="B155" s="18" t="s">
        <v>15</v>
      </c>
      <c r="C155" s="18" t="s">
        <v>15</v>
      </c>
      <c r="D155" s="18" t="s">
        <v>15</v>
      </c>
      <c r="E155" s="18" t="s">
        <v>15</v>
      </c>
      <c r="F155" s="18" t="s">
        <v>15</v>
      </c>
      <c r="G155" s="18" t="s">
        <v>15</v>
      </c>
      <c r="H155" s="18" t="s">
        <v>15</v>
      </c>
      <c r="I155" s="18" t="s">
        <v>15</v>
      </c>
      <c r="J155" s="18" t="s">
        <v>3098</v>
      </c>
      <c r="K155" s="18" t="s">
        <v>15</v>
      </c>
      <c r="L155" s="18" t="s">
        <v>15</v>
      </c>
      <c r="M155" s="18" t="s">
        <v>15</v>
      </c>
      <c r="N155" s="18" t="s">
        <v>15</v>
      </c>
      <c r="O155" s="18" t="s">
        <v>15</v>
      </c>
      <c r="P155" s="18" t="s">
        <v>15</v>
      </c>
      <c r="Q155" s="18" t="s">
        <v>15</v>
      </c>
      <c r="R155" s="18" t="s">
        <v>15</v>
      </c>
      <c r="S155" s="18" t="s">
        <v>15</v>
      </c>
    </row>
    <row r="156" spans="1:19" x14ac:dyDescent="0.25">
      <c r="A156" s="17">
        <v>155</v>
      </c>
      <c r="B156" s="18" t="s">
        <v>15</v>
      </c>
      <c r="C156" s="18" t="s">
        <v>15</v>
      </c>
      <c r="D156" s="18" t="s">
        <v>15</v>
      </c>
      <c r="E156" s="18" t="s">
        <v>15</v>
      </c>
      <c r="F156" s="18" t="s">
        <v>15</v>
      </c>
      <c r="G156" s="18" t="s">
        <v>15</v>
      </c>
      <c r="H156" s="18" t="s">
        <v>15</v>
      </c>
      <c r="I156" s="18" t="s">
        <v>15</v>
      </c>
      <c r="J156" s="18" t="s">
        <v>3099</v>
      </c>
      <c r="K156" s="18" t="s">
        <v>15</v>
      </c>
      <c r="L156" s="18" t="s">
        <v>15</v>
      </c>
      <c r="M156" s="18" t="s">
        <v>15</v>
      </c>
      <c r="N156" s="18" t="s">
        <v>15</v>
      </c>
      <c r="O156" s="18" t="s">
        <v>15</v>
      </c>
      <c r="P156" s="18" t="s">
        <v>15</v>
      </c>
      <c r="Q156" s="18" t="s">
        <v>15</v>
      </c>
      <c r="R156" s="18" t="s">
        <v>15</v>
      </c>
      <c r="S156" s="18" t="s">
        <v>15</v>
      </c>
    </row>
    <row r="157" spans="1:19" x14ac:dyDescent="0.25">
      <c r="A157" s="17">
        <v>156</v>
      </c>
      <c r="B157" s="18" t="s">
        <v>15</v>
      </c>
      <c r="C157" s="18" t="s">
        <v>15</v>
      </c>
      <c r="D157" s="18" t="s">
        <v>15</v>
      </c>
      <c r="E157" s="18" t="s">
        <v>15</v>
      </c>
      <c r="F157" s="18" t="s">
        <v>15</v>
      </c>
      <c r="G157" s="18" t="s">
        <v>15</v>
      </c>
      <c r="H157" s="18" t="s">
        <v>15</v>
      </c>
      <c r="I157" s="18" t="s">
        <v>15</v>
      </c>
      <c r="J157" s="18" t="s">
        <v>3100</v>
      </c>
      <c r="K157" s="18" t="s">
        <v>15</v>
      </c>
      <c r="L157" s="18" t="s">
        <v>15</v>
      </c>
      <c r="M157" s="18" t="s">
        <v>15</v>
      </c>
      <c r="N157" s="18" t="s">
        <v>15</v>
      </c>
      <c r="O157" s="18" t="s">
        <v>15</v>
      </c>
      <c r="P157" s="18" t="s">
        <v>15</v>
      </c>
      <c r="Q157" s="18" t="s">
        <v>15</v>
      </c>
      <c r="R157" s="18" t="s">
        <v>15</v>
      </c>
      <c r="S157" s="18" t="s">
        <v>15</v>
      </c>
    </row>
    <row r="158" spans="1:19" x14ac:dyDescent="0.25">
      <c r="A158" s="17">
        <v>157</v>
      </c>
      <c r="B158" s="18" t="s">
        <v>15</v>
      </c>
      <c r="C158" s="18" t="s">
        <v>15</v>
      </c>
      <c r="D158" s="18" t="s">
        <v>15</v>
      </c>
      <c r="E158" s="18" t="s">
        <v>15</v>
      </c>
      <c r="F158" s="18" t="s">
        <v>15</v>
      </c>
      <c r="G158" s="18" t="s">
        <v>15</v>
      </c>
      <c r="H158" s="18" t="s">
        <v>15</v>
      </c>
      <c r="I158" s="18" t="s">
        <v>15</v>
      </c>
      <c r="J158" s="18" t="s">
        <v>2984</v>
      </c>
      <c r="K158" s="18" t="s">
        <v>15</v>
      </c>
      <c r="L158" s="18" t="s">
        <v>15</v>
      </c>
      <c r="M158" s="18" t="s">
        <v>15</v>
      </c>
      <c r="N158" s="18" t="s">
        <v>15</v>
      </c>
      <c r="O158" s="18" t="s">
        <v>15</v>
      </c>
      <c r="P158" s="18" t="s">
        <v>15</v>
      </c>
      <c r="Q158" s="18" t="s">
        <v>15</v>
      </c>
      <c r="R158" s="18" t="s">
        <v>15</v>
      </c>
      <c r="S158" s="18" t="s">
        <v>15</v>
      </c>
    </row>
    <row r="159" spans="1:19" x14ac:dyDescent="0.25">
      <c r="A159" s="17">
        <v>158</v>
      </c>
      <c r="B159" s="18" t="s">
        <v>15</v>
      </c>
      <c r="C159" s="18" t="s">
        <v>15</v>
      </c>
      <c r="D159" s="18" t="s">
        <v>15</v>
      </c>
      <c r="E159" s="18" t="s">
        <v>15</v>
      </c>
      <c r="F159" s="18" t="s">
        <v>15</v>
      </c>
      <c r="G159" s="18" t="s">
        <v>15</v>
      </c>
      <c r="H159" s="18" t="s">
        <v>15</v>
      </c>
      <c r="I159" s="18" t="s">
        <v>15</v>
      </c>
      <c r="J159" s="18" t="s">
        <v>3101</v>
      </c>
      <c r="K159" s="18" t="s">
        <v>15</v>
      </c>
      <c r="L159" s="18" t="s">
        <v>15</v>
      </c>
      <c r="M159" s="18" t="s">
        <v>15</v>
      </c>
      <c r="N159" s="18" t="s">
        <v>15</v>
      </c>
      <c r="O159" s="18" t="s">
        <v>15</v>
      </c>
      <c r="P159" s="18" t="s">
        <v>15</v>
      </c>
      <c r="Q159" s="18" t="s">
        <v>15</v>
      </c>
      <c r="R159" s="18" t="s">
        <v>15</v>
      </c>
      <c r="S159" s="18" t="s">
        <v>15</v>
      </c>
    </row>
    <row r="160" spans="1:19" x14ac:dyDescent="0.25">
      <c r="A160" s="17">
        <v>159</v>
      </c>
      <c r="B160" s="18" t="s">
        <v>15</v>
      </c>
      <c r="C160" s="18" t="s">
        <v>15</v>
      </c>
      <c r="D160" s="18" t="s">
        <v>15</v>
      </c>
      <c r="E160" s="18" t="s">
        <v>15</v>
      </c>
      <c r="F160" s="18" t="s">
        <v>15</v>
      </c>
      <c r="G160" s="18" t="s">
        <v>15</v>
      </c>
      <c r="H160" s="18" t="s">
        <v>15</v>
      </c>
      <c r="I160" s="18" t="s">
        <v>15</v>
      </c>
      <c r="J160" s="18" t="s">
        <v>3102</v>
      </c>
      <c r="K160" s="18" t="s">
        <v>15</v>
      </c>
      <c r="L160" s="18" t="s">
        <v>15</v>
      </c>
      <c r="M160" s="18" t="s">
        <v>15</v>
      </c>
      <c r="N160" s="18" t="s">
        <v>15</v>
      </c>
      <c r="O160" s="18" t="s">
        <v>15</v>
      </c>
      <c r="P160" s="18" t="s">
        <v>15</v>
      </c>
      <c r="Q160" s="18" t="s">
        <v>15</v>
      </c>
      <c r="R160" s="18" t="s">
        <v>15</v>
      </c>
      <c r="S160" s="18" t="s">
        <v>15</v>
      </c>
    </row>
    <row r="161" spans="1:19" x14ac:dyDescent="0.25">
      <c r="A161" s="17">
        <v>160</v>
      </c>
      <c r="B161" s="18" t="s">
        <v>15</v>
      </c>
      <c r="C161" s="18" t="s">
        <v>15</v>
      </c>
      <c r="D161" s="18" t="s">
        <v>15</v>
      </c>
      <c r="E161" s="18" t="s">
        <v>15</v>
      </c>
      <c r="F161" s="18" t="s">
        <v>15</v>
      </c>
      <c r="G161" s="18" t="s">
        <v>15</v>
      </c>
      <c r="H161" s="18" t="s">
        <v>15</v>
      </c>
      <c r="I161" s="18" t="s">
        <v>15</v>
      </c>
      <c r="J161" s="18" t="s">
        <v>3002</v>
      </c>
      <c r="K161" s="18" t="s">
        <v>15</v>
      </c>
      <c r="L161" s="18" t="s">
        <v>15</v>
      </c>
      <c r="M161" s="18" t="s">
        <v>15</v>
      </c>
      <c r="N161" s="18" t="s">
        <v>15</v>
      </c>
      <c r="O161" s="18" t="s">
        <v>15</v>
      </c>
      <c r="P161" s="18" t="s">
        <v>15</v>
      </c>
      <c r="Q161" s="18" t="s">
        <v>15</v>
      </c>
      <c r="R161" s="18" t="s">
        <v>15</v>
      </c>
      <c r="S161" s="18" t="s">
        <v>15</v>
      </c>
    </row>
    <row r="162" spans="1:19" x14ac:dyDescent="0.25">
      <c r="A162" s="17">
        <v>161</v>
      </c>
      <c r="B162" s="18" t="s">
        <v>15</v>
      </c>
      <c r="C162" s="18" t="s">
        <v>15</v>
      </c>
      <c r="D162" s="18" t="s">
        <v>15</v>
      </c>
      <c r="E162" s="18" t="s">
        <v>15</v>
      </c>
      <c r="F162" s="18" t="s">
        <v>15</v>
      </c>
      <c r="G162" s="18" t="s">
        <v>15</v>
      </c>
      <c r="H162" s="18" t="s">
        <v>15</v>
      </c>
      <c r="I162" s="18" t="s">
        <v>15</v>
      </c>
      <c r="J162" s="18" t="s">
        <v>3103</v>
      </c>
      <c r="K162" s="18" t="s">
        <v>15</v>
      </c>
      <c r="L162" s="18" t="s">
        <v>15</v>
      </c>
      <c r="M162" s="18" t="s">
        <v>15</v>
      </c>
      <c r="N162" s="18" t="s">
        <v>15</v>
      </c>
      <c r="O162" s="18" t="s">
        <v>15</v>
      </c>
      <c r="P162" s="18" t="s">
        <v>15</v>
      </c>
      <c r="Q162" s="18" t="s">
        <v>15</v>
      </c>
      <c r="R162" s="18" t="s">
        <v>15</v>
      </c>
      <c r="S162" s="18" t="s">
        <v>15</v>
      </c>
    </row>
    <row r="163" spans="1:19" x14ac:dyDescent="0.25">
      <c r="A163" s="17">
        <v>162</v>
      </c>
      <c r="B163" s="18" t="s">
        <v>15</v>
      </c>
      <c r="C163" s="18" t="s">
        <v>15</v>
      </c>
      <c r="D163" s="18" t="s">
        <v>15</v>
      </c>
      <c r="E163" s="18" t="s">
        <v>15</v>
      </c>
      <c r="F163" s="18" t="s">
        <v>15</v>
      </c>
      <c r="G163" s="18" t="s">
        <v>15</v>
      </c>
      <c r="H163" s="18" t="s">
        <v>15</v>
      </c>
      <c r="I163" s="18" t="s">
        <v>15</v>
      </c>
      <c r="J163" s="18" t="s">
        <v>3104</v>
      </c>
      <c r="K163" s="18" t="s">
        <v>15</v>
      </c>
      <c r="L163" s="18" t="s">
        <v>15</v>
      </c>
      <c r="M163" s="18" t="s">
        <v>15</v>
      </c>
      <c r="N163" s="18" t="s">
        <v>15</v>
      </c>
      <c r="O163" s="18" t="s">
        <v>15</v>
      </c>
      <c r="P163" s="18" t="s">
        <v>15</v>
      </c>
      <c r="Q163" s="18" t="s">
        <v>15</v>
      </c>
      <c r="R163" s="18" t="s">
        <v>15</v>
      </c>
      <c r="S163" s="18" t="s">
        <v>15</v>
      </c>
    </row>
    <row r="164" spans="1:19" x14ac:dyDescent="0.25">
      <c r="A164" s="17">
        <v>163</v>
      </c>
      <c r="B164" s="18" t="s">
        <v>15</v>
      </c>
      <c r="C164" s="18" t="s">
        <v>15</v>
      </c>
      <c r="D164" s="18" t="s">
        <v>15</v>
      </c>
      <c r="E164" s="18" t="s">
        <v>15</v>
      </c>
      <c r="F164" s="18" t="s">
        <v>15</v>
      </c>
      <c r="G164" s="18" t="s">
        <v>15</v>
      </c>
      <c r="H164" s="18" t="s">
        <v>15</v>
      </c>
      <c r="I164" s="18" t="s">
        <v>15</v>
      </c>
      <c r="J164" s="18" t="s">
        <v>3105</v>
      </c>
      <c r="K164" s="18" t="s">
        <v>15</v>
      </c>
      <c r="L164" s="18" t="s">
        <v>15</v>
      </c>
      <c r="M164" s="18" t="s">
        <v>15</v>
      </c>
      <c r="N164" s="18" t="s">
        <v>15</v>
      </c>
      <c r="O164" s="18" t="s">
        <v>15</v>
      </c>
      <c r="P164" s="18" t="s">
        <v>15</v>
      </c>
      <c r="Q164" s="18" t="s">
        <v>15</v>
      </c>
      <c r="R164" s="18" t="s">
        <v>15</v>
      </c>
      <c r="S164" s="18" t="s">
        <v>15</v>
      </c>
    </row>
    <row r="165" spans="1:19" x14ac:dyDescent="0.25">
      <c r="A165" s="17">
        <v>164</v>
      </c>
      <c r="B165" s="18" t="s">
        <v>15</v>
      </c>
      <c r="C165" s="18" t="s">
        <v>15</v>
      </c>
      <c r="D165" s="18" t="s">
        <v>15</v>
      </c>
      <c r="E165" s="18" t="s">
        <v>15</v>
      </c>
      <c r="F165" s="18" t="s">
        <v>15</v>
      </c>
      <c r="G165" s="18" t="s">
        <v>15</v>
      </c>
      <c r="H165" s="18" t="s">
        <v>15</v>
      </c>
      <c r="I165" s="18" t="s">
        <v>15</v>
      </c>
      <c r="J165" s="18" t="s">
        <v>3106</v>
      </c>
      <c r="K165" s="18" t="s">
        <v>15</v>
      </c>
      <c r="L165" s="18" t="s">
        <v>15</v>
      </c>
      <c r="M165" s="18" t="s">
        <v>15</v>
      </c>
      <c r="N165" s="18" t="s">
        <v>15</v>
      </c>
      <c r="O165" s="18" t="s">
        <v>15</v>
      </c>
      <c r="P165" s="18" t="s">
        <v>15</v>
      </c>
      <c r="Q165" s="18" t="s">
        <v>15</v>
      </c>
      <c r="R165" s="18" t="s">
        <v>15</v>
      </c>
      <c r="S165" s="18" t="s">
        <v>15</v>
      </c>
    </row>
    <row r="166" spans="1:19" x14ac:dyDescent="0.25">
      <c r="A166" s="17">
        <v>165</v>
      </c>
      <c r="B166" s="18" t="s">
        <v>15</v>
      </c>
      <c r="C166" s="18" t="s">
        <v>15</v>
      </c>
      <c r="D166" s="18" t="s">
        <v>15</v>
      </c>
      <c r="E166" s="18" t="s">
        <v>15</v>
      </c>
      <c r="F166" s="18" t="s">
        <v>15</v>
      </c>
      <c r="G166" s="18" t="s">
        <v>15</v>
      </c>
      <c r="H166" s="18" t="s">
        <v>15</v>
      </c>
      <c r="I166" s="18" t="s">
        <v>15</v>
      </c>
      <c r="J166" s="18" t="s">
        <v>2836</v>
      </c>
      <c r="K166" s="18" t="s">
        <v>15</v>
      </c>
      <c r="L166" s="18" t="s">
        <v>15</v>
      </c>
      <c r="M166" s="18" t="s">
        <v>15</v>
      </c>
      <c r="N166" s="18" t="s">
        <v>15</v>
      </c>
      <c r="O166" s="18" t="s">
        <v>15</v>
      </c>
      <c r="P166" s="18" t="s">
        <v>15</v>
      </c>
      <c r="Q166" s="18" t="s">
        <v>15</v>
      </c>
      <c r="R166" s="18" t="s">
        <v>15</v>
      </c>
      <c r="S166" s="18" t="s">
        <v>15</v>
      </c>
    </row>
    <row r="167" spans="1:19" x14ac:dyDescent="0.25">
      <c r="A167" s="17">
        <v>166</v>
      </c>
      <c r="B167" s="18" t="s">
        <v>15</v>
      </c>
      <c r="C167" s="18" t="s">
        <v>15</v>
      </c>
      <c r="D167" s="18" t="s">
        <v>15</v>
      </c>
      <c r="E167" s="18" t="s">
        <v>15</v>
      </c>
      <c r="F167" s="18" t="s">
        <v>15</v>
      </c>
      <c r="G167" s="18" t="s">
        <v>15</v>
      </c>
      <c r="H167" s="18" t="s">
        <v>15</v>
      </c>
      <c r="I167" s="18" t="s">
        <v>15</v>
      </c>
      <c r="J167" s="18" t="s">
        <v>3107</v>
      </c>
      <c r="K167" s="18" t="s">
        <v>15</v>
      </c>
      <c r="L167" s="18" t="s">
        <v>15</v>
      </c>
      <c r="M167" s="18" t="s">
        <v>15</v>
      </c>
      <c r="N167" s="18" t="s">
        <v>15</v>
      </c>
      <c r="O167" s="18" t="s">
        <v>15</v>
      </c>
      <c r="P167" s="18" t="s">
        <v>15</v>
      </c>
      <c r="Q167" s="18" t="s">
        <v>15</v>
      </c>
      <c r="R167" s="18" t="s">
        <v>15</v>
      </c>
      <c r="S167" s="18" t="s">
        <v>15</v>
      </c>
    </row>
    <row r="168" spans="1:19" x14ac:dyDescent="0.25">
      <c r="A168" s="17">
        <v>167</v>
      </c>
      <c r="B168" s="18" t="s">
        <v>15</v>
      </c>
      <c r="C168" s="18" t="s">
        <v>15</v>
      </c>
      <c r="D168" s="18" t="s">
        <v>15</v>
      </c>
      <c r="E168" s="18" t="s">
        <v>15</v>
      </c>
      <c r="F168" s="18" t="s">
        <v>15</v>
      </c>
      <c r="G168" s="18" t="s">
        <v>15</v>
      </c>
      <c r="H168" s="18" t="s">
        <v>15</v>
      </c>
      <c r="I168" s="18" t="s">
        <v>15</v>
      </c>
      <c r="J168" s="18" t="s">
        <v>3108</v>
      </c>
      <c r="K168" s="18" t="s">
        <v>15</v>
      </c>
      <c r="L168" s="18" t="s">
        <v>15</v>
      </c>
      <c r="M168" s="18" t="s">
        <v>15</v>
      </c>
      <c r="N168" s="18" t="s">
        <v>15</v>
      </c>
      <c r="O168" s="18" t="s">
        <v>15</v>
      </c>
      <c r="P168" s="18" t="s">
        <v>15</v>
      </c>
      <c r="Q168" s="18" t="s">
        <v>15</v>
      </c>
      <c r="R168" s="18" t="s">
        <v>15</v>
      </c>
      <c r="S168" s="18" t="s">
        <v>15</v>
      </c>
    </row>
    <row r="169" spans="1:19" x14ac:dyDescent="0.25">
      <c r="A169" s="17">
        <v>168</v>
      </c>
      <c r="B169" s="18" t="s">
        <v>15</v>
      </c>
      <c r="C169" s="18" t="s">
        <v>15</v>
      </c>
      <c r="D169" s="18" t="s">
        <v>15</v>
      </c>
      <c r="E169" s="18" t="s">
        <v>15</v>
      </c>
      <c r="F169" s="18" t="s">
        <v>15</v>
      </c>
      <c r="G169" s="18" t="s">
        <v>15</v>
      </c>
      <c r="H169" s="18" t="s">
        <v>15</v>
      </c>
      <c r="I169" s="18" t="s">
        <v>15</v>
      </c>
      <c r="J169" s="18" t="s">
        <v>3109</v>
      </c>
      <c r="K169" s="18" t="s">
        <v>15</v>
      </c>
      <c r="L169" s="18" t="s">
        <v>15</v>
      </c>
      <c r="M169" s="18" t="s">
        <v>15</v>
      </c>
      <c r="N169" s="18" t="s">
        <v>15</v>
      </c>
      <c r="O169" s="18" t="s">
        <v>15</v>
      </c>
      <c r="P169" s="18" t="s">
        <v>15</v>
      </c>
      <c r="Q169" s="18" t="s">
        <v>15</v>
      </c>
      <c r="R169" s="18" t="s">
        <v>15</v>
      </c>
      <c r="S169" s="18" t="s">
        <v>15</v>
      </c>
    </row>
    <row r="170" spans="1:19" x14ac:dyDescent="0.25">
      <c r="A170" s="17">
        <v>169</v>
      </c>
      <c r="B170" s="18" t="s">
        <v>15</v>
      </c>
      <c r="C170" s="18" t="s">
        <v>15</v>
      </c>
      <c r="D170" s="18" t="s">
        <v>15</v>
      </c>
      <c r="E170" s="18" t="s">
        <v>15</v>
      </c>
      <c r="F170" s="18" t="s">
        <v>15</v>
      </c>
      <c r="G170" s="18" t="s">
        <v>15</v>
      </c>
      <c r="H170" s="18" t="s">
        <v>15</v>
      </c>
      <c r="I170" s="18" t="s">
        <v>15</v>
      </c>
      <c r="J170" s="18" t="s">
        <v>2947</v>
      </c>
      <c r="K170" s="18" t="s">
        <v>15</v>
      </c>
      <c r="L170" s="18" t="s">
        <v>15</v>
      </c>
      <c r="M170" s="18" t="s">
        <v>15</v>
      </c>
      <c r="N170" s="18" t="s">
        <v>15</v>
      </c>
      <c r="O170" s="18" t="s">
        <v>15</v>
      </c>
      <c r="P170" s="18" t="s">
        <v>15</v>
      </c>
      <c r="Q170" s="18" t="s">
        <v>15</v>
      </c>
      <c r="R170" s="18" t="s">
        <v>15</v>
      </c>
      <c r="S170" s="18" t="s">
        <v>15</v>
      </c>
    </row>
    <row r="171" spans="1:19" x14ac:dyDescent="0.25">
      <c r="A171" s="17">
        <v>170</v>
      </c>
      <c r="B171" s="18" t="s">
        <v>15</v>
      </c>
      <c r="C171" s="18" t="s">
        <v>15</v>
      </c>
      <c r="D171" s="18" t="s">
        <v>15</v>
      </c>
      <c r="E171" s="18" t="s">
        <v>15</v>
      </c>
      <c r="F171" s="18" t="s">
        <v>15</v>
      </c>
      <c r="G171" s="18" t="s">
        <v>15</v>
      </c>
      <c r="H171" s="18" t="s">
        <v>15</v>
      </c>
      <c r="I171" s="18" t="s">
        <v>15</v>
      </c>
      <c r="J171" s="18" t="s">
        <v>3110</v>
      </c>
      <c r="K171" s="18" t="s">
        <v>15</v>
      </c>
      <c r="L171" s="18" t="s">
        <v>15</v>
      </c>
      <c r="M171" s="18" t="s">
        <v>15</v>
      </c>
      <c r="N171" s="18" t="s">
        <v>15</v>
      </c>
      <c r="O171" s="18" t="s">
        <v>15</v>
      </c>
      <c r="P171" s="18" t="s">
        <v>15</v>
      </c>
      <c r="Q171" s="18" t="s">
        <v>15</v>
      </c>
      <c r="R171" s="18" t="s">
        <v>15</v>
      </c>
      <c r="S171" s="18" t="s">
        <v>15</v>
      </c>
    </row>
    <row r="172" spans="1:19" x14ac:dyDescent="0.25">
      <c r="A172" s="17">
        <v>171</v>
      </c>
      <c r="B172" s="18" t="s">
        <v>15</v>
      </c>
      <c r="C172" s="18" t="s">
        <v>15</v>
      </c>
      <c r="D172" s="18" t="s">
        <v>15</v>
      </c>
      <c r="E172" s="18" t="s">
        <v>15</v>
      </c>
      <c r="F172" s="18" t="s">
        <v>15</v>
      </c>
      <c r="G172" s="18" t="s">
        <v>15</v>
      </c>
      <c r="H172" s="18" t="s">
        <v>15</v>
      </c>
      <c r="I172" s="18" t="s">
        <v>15</v>
      </c>
      <c r="J172" s="18" t="s">
        <v>3111</v>
      </c>
      <c r="K172" s="18" t="s">
        <v>15</v>
      </c>
      <c r="L172" s="18" t="s">
        <v>15</v>
      </c>
      <c r="M172" s="18" t="s">
        <v>15</v>
      </c>
      <c r="N172" s="18" t="s">
        <v>15</v>
      </c>
      <c r="O172" s="18" t="s">
        <v>15</v>
      </c>
      <c r="P172" s="18" t="s">
        <v>15</v>
      </c>
      <c r="Q172" s="18" t="s">
        <v>15</v>
      </c>
      <c r="R172" s="18" t="s">
        <v>15</v>
      </c>
      <c r="S172" s="18" t="s">
        <v>15</v>
      </c>
    </row>
    <row r="173" spans="1:19" x14ac:dyDescent="0.25">
      <c r="A173" s="17">
        <v>172</v>
      </c>
      <c r="B173" s="18" t="s">
        <v>15</v>
      </c>
      <c r="C173" s="18" t="s">
        <v>15</v>
      </c>
      <c r="D173" s="18" t="s">
        <v>15</v>
      </c>
      <c r="E173" s="18" t="s">
        <v>15</v>
      </c>
      <c r="F173" s="18" t="s">
        <v>15</v>
      </c>
      <c r="G173" s="18" t="s">
        <v>15</v>
      </c>
      <c r="H173" s="18" t="s">
        <v>15</v>
      </c>
      <c r="I173" s="18" t="s">
        <v>15</v>
      </c>
      <c r="J173" s="18" t="s">
        <v>3112</v>
      </c>
      <c r="K173" s="18" t="s">
        <v>15</v>
      </c>
      <c r="L173" s="18" t="s">
        <v>15</v>
      </c>
      <c r="M173" s="18" t="s">
        <v>15</v>
      </c>
      <c r="N173" s="18" t="s">
        <v>15</v>
      </c>
      <c r="O173" s="18" t="s">
        <v>15</v>
      </c>
      <c r="P173" s="18" t="s">
        <v>15</v>
      </c>
      <c r="Q173" s="18" t="s">
        <v>15</v>
      </c>
      <c r="R173" s="18" t="s">
        <v>15</v>
      </c>
      <c r="S173" s="18" t="s">
        <v>15</v>
      </c>
    </row>
    <row r="174" spans="1:19" x14ac:dyDescent="0.25">
      <c r="A174" s="17">
        <v>173</v>
      </c>
      <c r="B174" s="18" t="s">
        <v>15</v>
      </c>
      <c r="C174" s="18" t="s">
        <v>15</v>
      </c>
      <c r="D174" s="18" t="s">
        <v>15</v>
      </c>
      <c r="E174" s="18" t="s">
        <v>15</v>
      </c>
      <c r="F174" s="18" t="s">
        <v>15</v>
      </c>
      <c r="G174" s="18" t="s">
        <v>15</v>
      </c>
      <c r="H174" s="18" t="s">
        <v>15</v>
      </c>
      <c r="I174" s="18" t="s">
        <v>15</v>
      </c>
      <c r="J174" s="18" t="s">
        <v>3113</v>
      </c>
      <c r="K174" s="18" t="s">
        <v>15</v>
      </c>
      <c r="L174" s="18" t="s">
        <v>15</v>
      </c>
      <c r="M174" s="18" t="s">
        <v>15</v>
      </c>
      <c r="N174" s="18" t="s">
        <v>15</v>
      </c>
      <c r="O174" s="18" t="s">
        <v>15</v>
      </c>
      <c r="P174" s="18" t="s">
        <v>15</v>
      </c>
      <c r="Q174" s="18" t="s">
        <v>15</v>
      </c>
      <c r="R174" s="18" t="s">
        <v>15</v>
      </c>
      <c r="S174" s="18" t="s">
        <v>15</v>
      </c>
    </row>
    <row r="175" spans="1:19" x14ac:dyDescent="0.25">
      <c r="A175" s="17">
        <v>174</v>
      </c>
      <c r="B175" s="18" t="s">
        <v>15</v>
      </c>
      <c r="C175" s="18" t="s">
        <v>15</v>
      </c>
      <c r="D175" s="18" t="s">
        <v>15</v>
      </c>
      <c r="E175" s="18" t="s">
        <v>15</v>
      </c>
      <c r="F175" s="18" t="s">
        <v>15</v>
      </c>
      <c r="G175" s="18" t="s">
        <v>15</v>
      </c>
      <c r="H175" s="18" t="s">
        <v>15</v>
      </c>
      <c r="I175" s="18" t="s">
        <v>15</v>
      </c>
      <c r="J175" s="18" t="s">
        <v>3114</v>
      </c>
      <c r="K175" s="18" t="s">
        <v>15</v>
      </c>
      <c r="L175" s="18" t="s">
        <v>15</v>
      </c>
      <c r="M175" s="18" t="s">
        <v>15</v>
      </c>
      <c r="N175" s="18" t="s">
        <v>15</v>
      </c>
      <c r="O175" s="18" t="s">
        <v>15</v>
      </c>
      <c r="P175" s="18" t="s">
        <v>15</v>
      </c>
      <c r="Q175" s="18" t="s">
        <v>15</v>
      </c>
      <c r="R175" s="18" t="s">
        <v>15</v>
      </c>
      <c r="S175" s="18" t="s">
        <v>15</v>
      </c>
    </row>
    <row r="176" spans="1:19" x14ac:dyDescent="0.25">
      <c r="A176" s="17">
        <v>175</v>
      </c>
      <c r="B176" s="18" t="s">
        <v>15</v>
      </c>
      <c r="C176" s="18" t="s">
        <v>15</v>
      </c>
      <c r="D176" s="18" t="s">
        <v>15</v>
      </c>
      <c r="E176" s="18" t="s">
        <v>15</v>
      </c>
      <c r="F176" s="18" t="s">
        <v>15</v>
      </c>
      <c r="G176" s="18" t="s">
        <v>15</v>
      </c>
      <c r="H176" s="18" t="s">
        <v>15</v>
      </c>
      <c r="I176" s="18" t="s">
        <v>15</v>
      </c>
      <c r="J176" s="18" t="s">
        <v>3115</v>
      </c>
      <c r="K176" s="18" t="s">
        <v>15</v>
      </c>
      <c r="L176" s="18" t="s">
        <v>15</v>
      </c>
      <c r="M176" s="18" t="s">
        <v>15</v>
      </c>
      <c r="N176" s="18" t="s">
        <v>15</v>
      </c>
      <c r="O176" s="18" t="s">
        <v>15</v>
      </c>
      <c r="P176" s="18" t="s">
        <v>15</v>
      </c>
      <c r="Q176" s="18" t="s">
        <v>15</v>
      </c>
      <c r="R176" s="18" t="s">
        <v>15</v>
      </c>
      <c r="S176" s="18" t="s">
        <v>15</v>
      </c>
    </row>
    <row r="177" spans="1:19" x14ac:dyDescent="0.25">
      <c r="A177" s="17">
        <v>176</v>
      </c>
      <c r="B177" s="18" t="s">
        <v>15</v>
      </c>
      <c r="C177" s="18" t="s">
        <v>15</v>
      </c>
      <c r="D177" s="18" t="s">
        <v>15</v>
      </c>
      <c r="E177" s="18" t="s">
        <v>15</v>
      </c>
      <c r="F177" s="18" t="s">
        <v>15</v>
      </c>
      <c r="G177" s="18" t="s">
        <v>15</v>
      </c>
      <c r="H177" s="18" t="s">
        <v>15</v>
      </c>
      <c r="I177" s="18" t="s">
        <v>15</v>
      </c>
      <c r="J177" s="18" t="s">
        <v>3116</v>
      </c>
      <c r="K177" s="18" t="s">
        <v>15</v>
      </c>
      <c r="L177" s="18" t="s">
        <v>15</v>
      </c>
      <c r="M177" s="18" t="s">
        <v>15</v>
      </c>
      <c r="N177" s="18" t="s">
        <v>15</v>
      </c>
      <c r="O177" s="18" t="s">
        <v>15</v>
      </c>
      <c r="P177" s="18" t="s">
        <v>15</v>
      </c>
      <c r="Q177" s="18" t="s">
        <v>15</v>
      </c>
      <c r="R177" s="18" t="s">
        <v>15</v>
      </c>
      <c r="S177" s="18" t="s">
        <v>15</v>
      </c>
    </row>
    <row r="178" spans="1:19" x14ac:dyDescent="0.25">
      <c r="A178" s="17">
        <v>177</v>
      </c>
      <c r="B178" s="18" t="s">
        <v>15</v>
      </c>
      <c r="C178" s="18" t="s">
        <v>15</v>
      </c>
      <c r="D178" s="18" t="s">
        <v>15</v>
      </c>
      <c r="E178" s="18" t="s">
        <v>15</v>
      </c>
      <c r="F178" s="18" t="s">
        <v>15</v>
      </c>
      <c r="G178" s="18" t="s">
        <v>15</v>
      </c>
      <c r="H178" s="18" t="s">
        <v>15</v>
      </c>
      <c r="I178" s="18" t="s">
        <v>15</v>
      </c>
      <c r="J178" s="18" t="s">
        <v>2910</v>
      </c>
      <c r="K178" s="18" t="s">
        <v>15</v>
      </c>
      <c r="L178" s="18" t="s">
        <v>15</v>
      </c>
      <c r="M178" s="18" t="s">
        <v>15</v>
      </c>
      <c r="N178" s="18" t="s">
        <v>15</v>
      </c>
      <c r="O178" s="18" t="s">
        <v>15</v>
      </c>
      <c r="P178" s="18" t="s">
        <v>15</v>
      </c>
      <c r="Q178" s="18" t="s">
        <v>15</v>
      </c>
      <c r="R178" s="18" t="s">
        <v>15</v>
      </c>
      <c r="S178" s="18" t="s">
        <v>15</v>
      </c>
    </row>
    <row r="179" spans="1:19" x14ac:dyDescent="0.25">
      <c r="A179" s="17">
        <v>178</v>
      </c>
      <c r="B179" s="18" t="s">
        <v>15</v>
      </c>
      <c r="C179" s="18" t="s">
        <v>15</v>
      </c>
      <c r="D179" s="18" t="s">
        <v>15</v>
      </c>
      <c r="E179" s="18" t="s">
        <v>15</v>
      </c>
      <c r="F179" s="18" t="s">
        <v>15</v>
      </c>
      <c r="G179" s="18" t="s">
        <v>15</v>
      </c>
      <c r="H179" s="18" t="s">
        <v>15</v>
      </c>
      <c r="I179" s="18" t="s">
        <v>15</v>
      </c>
      <c r="J179" s="18" t="s">
        <v>3117</v>
      </c>
      <c r="K179" s="18" t="s">
        <v>15</v>
      </c>
      <c r="L179" s="18" t="s">
        <v>15</v>
      </c>
      <c r="M179" s="18" t="s">
        <v>15</v>
      </c>
      <c r="N179" s="18" t="s">
        <v>15</v>
      </c>
      <c r="O179" s="18" t="s">
        <v>15</v>
      </c>
      <c r="P179" s="18" t="s">
        <v>15</v>
      </c>
      <c r="Q179" s="18" t="s">
        <v>15</v>
      </c>
      <c r="R179" s="18" t="s">
        <v>15</v>
      </c>
      <c r="S179" s="18" t="s">
        <v>15</v>
      </c>
    </row>
    <row r="180" spans="1:19" x14ac:dyDescent="0.25">
      <c r="A180" s="17">
        <v>179</v>
      </c>
      <c r="B180" s="18" t="s">
        <v>15</v>
      </c>
      <c r="C180" s="18" t="s">
        <v>15</v>
      </c>
      <c r="D180" s="18" t="s">
        <v>15</v>
      </c>
      <c r="E180" s="18" t="s">
        <v>15</v>
      </c>
      <c r="F180" s="18" t="s">
        <v>15</v>
      </c>
      <c r="G180" s="18" t="s">
        <v>15</v>
      </c>
      <c r="H180" s="18" t="s">
        <v>15</v>
      </c>
      <c r="I180" s="18" t="s">
        <v>15</v>
      </c>
      <c r="J180" s="18" t="s">
        <v>3118</v>
      </c>
      <c r="K180" s="18" t="s">
        <v>15</v>
      </c>
      <c r="L180" s="18" t="s">
        <v>15</v>
      </c>
      <c r="M180" s="18" t="s">
        <v>15</v>
      </c>
      <c r="N180" s="18" t="s">
        <v>15</v>
      </c>
      <c r="O180" s="18" t="s">
        <v>15</v>
      </c>
      <c r="P180" s="18" t="s">
        <v>15</v>
      </c>
      <c r="Q180" s="18" t="s">
        <v>15</v>
      </c>
      <c r="R180" s="18" t="s">
        <v>15</v>
      </c>
      <c r="S180" s="18" t="s">
        <v>15</v>
      </c>
    </row>
    <row r="181" spans="1:19" x14ac:dyDescent="0.25">
      <c r="A181" s="17">
        <v>180</v>
      </c>
      <c r="B181" s="18" t="s">
        <v>15</v>
      </c>
      <c r="C181" s="18" t="s">
        <v>15</v>
      </c>
      <c r="D181" s="18" t="s">
        <v>15</v>
      </c>
      <c r="E181" s="18" t="s">
        <v>15</v>
      </c>
      <c r="F181" s="18" t="s">
        <v>15</v>
      </c>
      <c r="G181" s="18" t="s">
        <v>15</v>
      </c>
      <c r="H181" s="18" t="s">
        <v>15</v>
      </c>
      <c r="I181" s="18" t="s">
        <v>15</v>
      </c>
      <c r="J181" s="18" t="s">
        <v>3119</v>
      </c>
      <c r="K181" s="18" t="s">
        <v>15</v>
      </c>
      <c r="L181" s="18" t="s">
        <v>15</v>
      </c>
      <c r="M181" s="18" t="s">
        <v>15</v>
      </c>
      <c r="N181" s="18" t="s">
        <v>15</v>
      </c>
      <c r="O181" s="18" t="s">
        <v>15</v>
      </c>
      <c r="P181" s="18" t="s">
        <v>15</v>
      </c>
      <c r="Q181" s="18" t="s">
        <v>15</v>
      </c>
      <c r="R181" s="18" t="s">
        <v>15</v>
      </c>
      <c r="S181" s="18" t="s">
        <v>15</v>
      </c>
    </row>
    <row r="182" spans="1:19" x14ac:dyDescent="0.25">
      <c r="A182" s="17">
        <v>181</v>
      </c>
      <c r="B182" s="18" t="s">
        <v>15</v>
      </c>
      <c r="C182" s="18" t="s">
        <v>15</v>
      </c>
      <c r="D182" s="18" t="s">
        <v>15</v>
      </c>
      <c r="E182" s="18" t="s">
        <v>15</v>
      </c>
      <c r="F182" s="18" t="s">
        <v>15</v>
      </c>
      <c r="G182" s="18" t="s">
        <v>15</v>
      </c>
      <c r="H182" s="18" t="s">
        <v>15</v>
      </c>
      <c r="I182" s="18" t="s">
        <v>15</v>
      </c>
      <c r="J182" s="18" t="s">
        <v>3120</v>
      </c>
      <c r="K182" s="18" t="s">
        <v>15</v>
      </c>
      <c r="L182" s="18" t="s">
        <v>15</v>
      </c>
      <c r="M182" s="18" t="s">
        <v>15</v>
      </c>
      <c r="N182" s="18" t="s">
        <v>15</v>
      </c>
      <c r="O182" s="18" t="s">
        <v>15</v>
      </c>
      <c r="P182" s="18" t="s">
        <v>15</v>
      </c>
      <c r="Q182" s="18" t="s">
        <v>15</v>
      </c>
      <c r="R182" s="18" t="s">
        <v>15</v>
      </c>
      <c r="S182" s="18" t="s">
        <v>15</v>
      </c>
    </row>
    <row r="183" spans="1:19" x14ac:dyDescent="0.25">
      <c r="A183" s="17">
        <v>182</v>
      </c>
      <c r="B183" s="18" t="s">
        <v>15</v>
      </c>
      <c r="C183" s="18" t="s">
        <v>15</v>
      </c>
      <c r="D183" s="18" t="s">
        <v>15</v>
      </c>
      <c r="E183" s="18" t="s">
        <v>15</v>
      </c>
      <c r="F183" s="18" t="s">
        <v>15</v>
      </c>
      <c r="G183" s="18" t="s">
        <v>15</v>
      </c>
      <c r="H183" s="18" t="s">
        <v>15</v>
      </c>
      <c r="I183" s="18" t="s">
        <v>15</v>
      </c>
      <c r="J183" s="18" t="s">
        <v>3121</v>
      </c>
      <c r="K183" s="18" t="s">
        <v>15</v>
      </c>
      <c r="L183" s="18" t="s">
        <v>15</v>
      </c>
      <c r="M183" s="18" t="s">
        <v>15</v>
      </c>
      <c r="N183" s="18" t="s">
        <v>15</v>
      </c>
      <c r="O183" s="18" t="s">
        <v>15</v>
      </c>
      <c r="P183" s="18" t="s">
        <v>15</v>
      </c>
      <c r="Q183" s="18" t="s">
        <v>15</v>
      </c>
      <c r="R183" s="18" t="s">
        <v>15</v>
      </c>
      <c r="S183" s="18" t="s">
        <v>15</v>
      </c>
    </row>
    <row r="184" spans="1:19" x14ac:dyDescent="0.25">
      <c r="A184" s="17">
        <v>183</v>
      </c>
      <c r="B184" s="18" t="s">
        <v>15</v>
      </c>
      <c r="C184" s="18" t="s">
        <v>15</v>
      </c>
      <c r="D184" s="18" t="s">
        <v>15</v>
      </c>
      <c r="E184" s="18" t="s">
        <v>15</v>
      </c>
      <c r="F184" s="18" t="s">
        <v>15</v>
      </c>
      <c r="G184" s="18" t="s">
        <v>15</v>
      </c>
      <c r="H184" s="18" t="s">
        <v>15</v>
      </c>
      <c r="I184" s="18" t="s">
        <v>15</v>
      </c>
      <c r="J184" s="18" t="s">
        <v>3122</v>
      </c>
      <c r="K184" s="18" t="s">
        <v>15</v>
      </c>
      <c r="L184" s="18" t="s">
        <v>15</v>
      </c>
      <c r="M184" s="18" t="s">
        <v>15</v>
      </c>
      <c r="N184" s="18" t="s">
        <v>15</v>
      </c>
      <c r="O184" s="18" t="s">
        <v>15</v>
      </c>
      <c r="P184" s="18" t="s">
        <v>15</v>
      </c>
      <c r="Q184" s="18" t="s">
        <v>15</v>
      </c>
      <c r="R184" s="18" t="s">
        <v>15</v>
      </c>
      <c r="S184" s="18" t="s">
        <v>15</v>
      </c>
    </row>
    <row r="185" spans="1:19" x14ac:dyDescent="0.25">
      <c r="A185" s="17">
        <v>184</v>
      </c>
      <c r="B185" s="18" t="s">
        <v>15</v>
      </c>
      <c r="C185" s="18" t="s">
        <v>15</v>
      </c>
      <c r="D185" s="18" t="s">
        <v>15</v>
      </c>
      <c r="E185" s="18" t="s">
        <v>15</v>
      </c>
      <c r="F185" s="18" t="s">
        <v>15</v>
      </c>
      <c r="G185" s="18" t="s">
        <v>15</v>
      </c>
      <c r="H185" s="18" t="s">
        <v>15</v>
      </c>
      <c r="I185" s="18" t="s">
        <v>15</v>
      </c>
      <c r="J185" s="18" t="s">
        <v>3123</v>
      </c>
      <c r="K185" s="18" t="s">
        <v>15</v>
      </c>
      <c r="L185" s="18" t="s">
        <v>15</v>
      </c>
      <c r="M185" s="18" t="s">
        <v>15</v>
      </c>
      <c r="N185" s="18" t="s">
        <v>15</v>
      </c>
      <c r="O185" s="18" t="s">
        <v>15</v>
      </c>
      <c r="P185" s="18" t="s">
        <v>15</v>
      </c>
      <c r="Q185" s="18" t="s">
        <v>15</v>
      </c>
      <c r="R185" s="18" t="s">
        <v>15</v>
      </c>
      <c r="S185" s="18" t="s">
        <v>15</v>
      </c>
    </row>
    <row r="186" spans="1:19" x14ac:dyDescent="0.25">
      <c r="A186" s="17">
        <v>185</v>
      </c>
      <c r="B186" s="18" t="s">
        <v>15</v>
      </c>
      <c r="C186" s="18" t="s">
        <v>15</v>
      </c>
      <c r="D186" s="18" t="s">
        <v>15</v>
      </c>
      <c r="E186" s="18" t="s">
        <v>15</v>
      </c>
      <c r="F186" s="18" t="s">
        <v>15</v>
      </c>
      <c r="G186" s="18" t="s">
        <v>15</v>
      </c>
      <c r="H186" s="18" t="s">
        <v>15</v>
      </c>
      <c r="I186" s="18" t="s">
        <v>15</v>
      </c>
      <c r="J186" s="18" t="s">
        <v>3124</v>
      </c>
      <c r="K186" s="18" t="s">
        <v>15</v>
      </c>
      <c r="L186" s="18" t="s">
        <v>15</v>
      </c>
      <c r="M186" s="18" t="s">
        <v>15</v>
      </c>
      <c r="N186" s="18" t="s">
        <v>15</v>
      </c>
      <c r="O186" s="18" t="s">
        <v>15</v>
      </c>
      <c r="P186" s="18" t="s">
        <v>15</v>
      </c>
      <c r="Q186" s="18" t="s">
        <v>15</v>
      </c>
      <c r="R186" s="18" t="s">
        <v>15</v>
      </c>
      <c r="S186" s="18" t="s">
        <v>15</v>
      </c>
    </row>
    <row r="187" spans="1:19" x14ac:dyDescent="0.25">
      <c r="A187" s="17">
        <v>186</v>
      </c>
      <c r="B187" s="18" t="s">
        <v>15</v>
      </c>
      <c r="C187" s="18" t="s">
        <v>15</v>
      </c>
      <c r="D187" s="18" t="s">
        <v>15</v>
      </c>
      <c r="E187" s="18" t="s">
        <v>15</v>
      </c>
      <c r="F187" s="18" t="s">
        <v>15</v>
      </c>
      <c r="G187" s="18" t="s">
        <v>15</v>
      </c>
      <c r="H187" s="18" t="s">
        <v>15</v>
      </c>
      <c r="I187" s="18" t="s">
        <v>15</v>
      </c>
      <c r="J187" s="18" t="s">
        <v>3125</v>
      </c>
      <c r="K187" s="18" t="s">
        <v>15</v>
      </c>
      <c r="L187" s="18" t="s">
        <v>15</v>
      </c>
      <c r="M187" s="18" t="s">
        <v>15</v>
      </c>
      <c r="N187" s="18" t="s">
        <v>15</v>
      </c>
      <c r="O187" s="18" t="s">
        <v>15</v>
      </c>
      <c r="P187" s="18" t="s">
        <v>15</v>
      </c>
      <c r="Q187" s="18" t="s">
        <v>15</v>
      </c>
      <c r="R187" s="18" t="s">
        <v>15</v>
      </c>
      <c r="S187" s="18" t="s">
        <v>15</v>
      </c>
    </row>
    <row r="188" spans="1:19" x14ac:dyDescent="0.25">
      <c r="A188" s="17">
        <v>187</v>
      </c>
      <c r="B188" s="18" t="s">
        <v>15</v>
      </c>
      <c r="C188" s="18" t="s">
        <v>15</v>
      </c>
      <c r="D188" s="18" t="s">
        <v>15</v>
      </c>
      <c r="E188" s="18" t="s">
        <v>15</v>
      </c>
      <c r="F188" s="18" t="s">
        <v>15</v>
      </c>
      <c r="G188" s="18" t="s">
        <v>15</v>
      </c>
      <c r="H188" s="18" t="s">
        <v>15</v>
      </c>
      <c r="I188" s="18" t="s">
        <v>15</v>
      </c>
      <c r="J188" s="18" t="s">
        <v>3126</v>
      </c>
      <c r="K188" s="18" t="s">
        <v>15</v>
      </c>
      <c r="L188" s="18" t="s">
        <v>15</v>
      </c>
      <c r="M188" s="18" t="s">
        <v>15</v>
      </c>
      <c r="N188" s="18" t="s">
        <v>15</v>
      </c>
      <c r="O188" s="18" t="s">
        <v>15</v>
      </c>
      <c r="P188" s="18" t="s">
        <v>15</v>
      </c>
      <c r="Q188" s="18" t="s">
        <v>15</v>
      </c>
      <c r="R188" s="18" t="s">
        <v>15</v>
      </c>
      <c r="S188" s="18" t="s">
        <v>15</v>
      </c>
    </row>
    <row r="189" spans="1:19" x14ac:dyDescent="0.25">
      <c r="A189" s="17">
        <v>188</v>
      </c>
      <c r="B189" s="18" t="s">
        <v>15</v>
      </c>
      <c r="C189" s="18" t="s">
        <v>15</v>
      </c>
      <c r="D189" s="18" t="s">
        <v>15</v>
      </c>
      <c r="E189" s="18" t="s">
        <v>15</v>
      </c>
      <c r="F189" s="18" t="s">
        <v>15</v>
      </c>
      <c r="G189" s="18" t="s">
        <v>15</v>
      </c>
      <c r="H189" s="18" t="s">
        <v>15</v>
      </c>
      <c r="I189" s="18" t="s">
        <v>15</v>
      </c>
      <c r="J189" s="18" t="s">
        <v>3127</v>
      </c>
      <c r="K189" s="18" t="s">
        <v>15</v>
      </c>
      <c r="L189" s="18" t="s">
        <v>15</v>
      </c>
      <c r="M189" s="18" t="s">
        <v>15</v>
      </c>
      <c r="N189" s="18" t="s">
        <v>15</v>
      </c>
      <c r="O189" s="18" t="s">
        <v>15</v>
      </c>
      <c r="P189" s="18" t="s">
        <v>15</v>
      </c>
      <c r="Q189" s="18" t="s">
        <v>15</v>
      </c>
      <c r="R189" s="18" t="s">
        <v>15</v>
      </c>
      <c r="S189" s="18" t="s">
        <v>15</v>
      </c>
    </row>
    <row r="190" spans="1:19" x14ac:dyDescent="0.25">
      <c r="A190" s="17">
        <v>189</v>
      </c>
      <c r="B190" s="18" t="s">
        <v>15</v>
      </c>
      <c r="C190" s="18" t="s">
        <v>15</v>
      </c>
      <c r="D190" s="18" t="s">
        <v>15</v>
      </c>
      <c r="E190" s="18" t="s">
        <v>15</v>
      </c>
      <c r="F190" s="18" t="s">
        <v>15</v>
      </c>
      <c r="G190" s="18" t="s">
        <v>15</v>
      </c>
      <c r="H190" s="18" t="s">
        <v>15</v>
      </c>
      <c r="I190" s="18" t="s">
        <v>15</v>
      </c>
      <c r="J190" s="18" t="s">
        <v>3128</v>
      </c>
      <c r="K190" s="18" t="s">
        <v>15</v>
      </c>
      <c r="L190" s="18" t="s">
        <v>15</v>
      </c>
      <c r="M190" s="18" t="s">
        <v>15</v>
      </c>
      <c r="N190" s="18" t="s">
        <v>15</v>
      </c>
      <c r="O190" s="18" t="s">
        <v>15</v>
      </c>
      <c r="P190" s="18" t="s">
        <v>15</v>
      </c>
      <c r="Q190" s="18" t="s">
        <v>15</v>
      </c>
      <c r="R190" s="18" t="s">
        <v>15</v>
      </c>
      <c r="S190" s="18" t="s">
        <v>15</v>
      </c>
    </row>
    <row r="191" spans="1:19" x14ac:dyDescent="0.25">
      <c r="A191" s="17">
        <v>190</v>
      </c>
      <c r="B191" s="18" t="s">
        <v>15</v>
      </c>
      <c r="C191" s="18" t="s">
        <v>15</v>
      </c>
      <c r="D191" s="18" t="s">
        <v>15</v>
      </c>
      <c r="E191" s="18" t="s">
        <v>15</v>
      </c>
      <c r="F191" s="18" t="s">
        <v>15</v>
      </c>
      <c r="G191" s="18" t="s">
        <v>15</v>
      </c>
      <c r="H191" s="18" t="s">
        <v>15</v>
      </c>
      <c r="I191" s="18" t="s">
        <v>15</v>
      </c>
      <c r="J191" s="18" t="s">
        <v>3129</v>
      </c>
      <c r="K191" s="18" t="s">
        <v>15</v>
      </c>
      <c r="L191" s="18" t="s">
        <v>15</v>
      </c>
      <c r="M191" s="18" t="s">
        <v>15</v>
      </c>
      <c r="N191" s="18" t="s">
        <v>15</v>
      </c>
      <c r="O191" s="18" t="s">
        <v>15</v>
      </c>
      <c r="P191" s="18" t="s">
        <v>15</v>
      </c>
      <c r="Q191" s="18" t="s">
        <v>15</v>
      </c>
      <c r="R191" s="18" t="s">
        <v>15</v>
      </c>
      <c r="S191" s="18" t="s">
        <v>15</v>
      </c>
    </row>
    <row r="192" spans="1:19" x14ac:dyDescent="0.25">
      <c r="A192" s="17">
        <v>191</v>
      </c>
      <c r="B192" s="18" t="s">
        <v>15</v>
      </c>
      <c r="C192" s="18" t="s">
        <v>15</v>
      </c>
      <c r="D192" s="18" t="s">
        <v>15</v>
      </c>
      <c r="E192" s="18" t="s">
        <v>15</v>
      </c>
      <c r="F192" s="18" t="s">
        <v>15</v>
      </c>
      <c r="G192" s="18" t="s">
        <v>15</v>
      </c>
      <c r="H192" s="18" t="s">
        <v>15</v>
      </c>
      <c r="I192" s="18" t="s">
        <v>15</v>
      </c>
      <c r="J192" s="18" t="s">
        <v>3130</v>
      </c>
      <c r="K192" s="18" t="s">
        <v>15</v>
      </c>
      <c r="L192" s="18" t="s">
        <v>15</v>
      </c>
      <c r="M192" s="18" t="s">
        <v>15</v>
      </c>
      <c r="N192" s="18" t="s">
        <v>15</v>
      </c>
      <c r="O192" s="18" t="s">
        <v>15</v>
      </c>
      <c r="P192" s="18" t="s">
        <v>15</v>
      </c>
      <c r="Q192" s="18" t="s">
        <v>15</v>
      </c>
      <c r="R192" s="18" t="s">
        <v>15</v>
      </c>
      <c r="S192" s="18" t="s">
        <v>15</v>
      </c>
    </row>
    <row r="193" spans="1:19" x14ac:dyDescent="0.25">
      <c r="A193" s="17">
        <v>192</v>
      </c>
      <c r="B193" s="18" t="s">
        <v>15</v>
      </c>
      <c r="C193" s="18" t="s">
        <v>15</v>
      </c>
      <c r="D193" s="18" t="s">
        <v>15</v>
      </c>
      <c r="E193" s="18" t="s">
        <v>15</v>
      </c>
      <c r="F193" s="18" t="s">
        <v>15</v>
      </c>
      <c r="G193" s="18" t="s">
        <v>15</v>
      </c>
      <c r="H193" s="18" t="s">
        <v>15</v>
      </c>
      <c r="I193" s="18" t="s">
        <v>15</v>
      </c>
      <c r="J193" s="18" t="s">
        <v>3131</v>
      </c>
      <c r="K193" s="18" t="s">
        <v>15</v>
      </c>
      <c r="L193" s="18" t="s">
        <v>15</v>
      </c>
      <c r="M193" s="18" t="s">
        <v>15</v>
      </c>
      <c r="N193" s="18" t="s">
        <v>15</v>
      </c>
      <c r="O193" s="18" t="s">
        <v>15</v>
      </c>
      <c r="P193" s="18" t="s">
        <v>15</v>
      </c>
      <c r="Q193" s="18" t="s">
        <v>15</v>
      </c>
      <c r="R193" s="18" t="s">
        <v>15</v>
      </c>
      <c r="S193" s="18" t="s">
        <v>15</v>
      </c>
    </row>
    <row r="194" spans="1:19" x14ac:dyDescent="0.25">
      <c r="A194" s="17">
        <v>193</v>
      </c>
      <c r="B194" s="18" t="s">
        <v>15</v>
      </c>
      <c r="C194" s="18" t="s">
        <v>15</v>
      </c>
      <c r="D194" s="18" t="s">
        <v>15</v>
      </c>
      <c r="E194" s="18" t="s">
        <v>15</v>
      </c>
      <c r="F194" s="18" t="s">
        <v>15</v>
      </c>
      <c r="G194" s="18" t="s">
        <v>15</v>
      </c>
      <c r="H194" s="18" t="s">
        <v>15</v>
      </c>
      <c r="I194" s="18" t="s">
        <v>15</v>
      </c>
      <c r="J194" s="18" t="s">
        <v>3132</v>
      </c>
      <c r="K194" s="18" t="s">
        <v>15</v>
      </c>
      <c r="L194" s="18" t="s">
        <v>15</v>
      </c>
      <c r="M194" s="18" t="s">
        <v>15</v>
      </c>
      <c r="N194" s="18" t="s">
        <v>15</v>
      </c>
      <c r="O194" s="18" t="s">
        <v>15</v>
      </c>
      <c r="P194" s="18" t="s">
        <v>15</v>
      </c>
      <c r="Q194" s="18" t="s">
        <v>15</v>
      </c>
      <c r="R194" s="18" t="s">
        <v>15</v>
      </c>
      <c r="S194" s="18" t="s">
        <v>15</v>
      </c>
    </row>
    <row r="195" spans="1:19" x14ac:dyDescent="0.25">
      <c r="A195" s="17">
        <v>194</v>
      </c>
      <c r="B195" s="18" t="s">
        <v>15</v>
      </c>
      <c r="C195" s="18" t="s">
        <v>15</v>
      </c>
      <c r="D195" s="18" t="s">
        <v>15</v>
      </c>
      <c r="E195" s="18" t="s">
        <v>15</v>
      </c>
      <c r="F195" s="18" t="s">
        <v>15</v>
      </c>
      <c r="G195" s="18" t="s">
        <v>15</v>
      </c>
      <c r="H195" s="18" t="s">
        <v>15</v>
      </c>
      <c r="I195" s="18" t="s">
        <v>15</v>
      </c>
      <c r="J195" s="18" t="s">
        <v>3133</v>
      </c>
      <c r="K195" s="18" t="s">
        <v>15</v>
      </c>
      <c r="L195" s="18" t="s">
        <v>15</v>
      </c>
      <c r="M195" s="18" t="s">
        <v>15</v>
      </c>
      <c r="N195" s="18" t="s">
        <v>15</v>
      </c>
      <c r="O195" s="18" t="s">
        <v>15</v>
      </c>
      <c r="P195" s="18" t="s">
        <v>15</v>
      </c>
      <c r="Q195" s="18" t="s">
        <v>15</v>
      </c>
      <c r="R195" s="18" t="s">
        <v>15</v>
      </c>
      <c r="S195" s="18" t="s">
        <v>15</v>
      </c>
    </row>
    <row r="196" spans="1:19" x14ac:dyDescent="0.25">
      <c r="A196" s="17">
        <v>195</v>
      </c>
      <c r="B196" s="18" t="s">
        <v>15</v>
      </c>
      <c r="C196" s="18" t="s">
        <v>15</v>
      </c>
      <c r="D196" s="18" t="s">
        <v>15</v>
      </c>
      <c r="E196" s="18" t="s">
        <v>15</v>
      </c>
      <c r="F196" s="18" t="s">
        <v>15</v>
      </c>
      <c r="G196" s="18" t="s">
        <v>15</v>
      </c>
      <c r="H196" s="18" t="s">
        <v>15</v>
      </c>
      <c r="I196" s="18" t="s">
        <v>15</v>
      </c>
      <c r="J196" s="18" t="s">
        <v>3134</v>
      </c>
      <c r="K196" s="18" t="s">
        <v>15</v>
      </c>
      <c r="L196" s="18" t="s">
        <v>15</v>
      </c>
      <c r="M196" s="18" t="s">
        <v>15</v>
      </c>
      <c r="N196" s="18" t="s">
        <v>15</v>
      </c>
      <c r="O196" s="18" t="s">
        <v>15</v>
      </c>
      <c r="P196" s="18" t="s">
        <v>15</v>
      </c>
      <c r="Q196" s="18" t="s">
        <v>15</v>
      </c>
      <c r="R196" s="18" t="s">
        <v>15</v>
      </c>
      <c r="S196" s="18" t="s">
        <v>15</v>
      </c>
    </row>
    <row r="197" spans="1:19" x14ac:dyDescent="0.25">
      <c r="A197" s="17">
        <v>196</v>
      </c>
      <c r="B197" s="18" t="s">
        <v>15</v>
      </c>
      <c r="C197" s="18" t="s">
        <v>15</v>
      </c>
      <c r="D197" s="18" t="s">
        <v>15</v>
      </c>
      <c r="E197" s="18" t="s">
        <v>15</v>
      </c>
      <c r="F197" s="18" t="s">
        <v>15</v>
      </c>
      <c r="G197" s="18" t="s">
        <v>15</v>
      </c>
      <c r="H197" s="18" t="s">
        <v>15</v>
      </c>
      <c r="I197" s="18" t="s">
        <v>15</v>
      </c>
      <c r="J197" s="18" t="s">
        <v>3135</v>
      </c>
      <c r="K197" s="18" t="s">
        <v>15</v>
      </c>
      <c r="L197" s="18" t="s">
        <v>15</v>
      </c>
      <c r="M197" s="18" t="s">
        <v>15</v>
      </c>
      <c r="N197" s="18" t="s">
        <v>15</v>
      </c>
      <c r="O197" s="18" t="s">
        <v>15</v>
      </c>
      <c r="P197" s="18" t="s">
        <v>15</v>
      </c>
      <c r="Q197" s="18" t="s">
        <v>15</v>
      </c>
      <c r="R197" s="18" t="s">
        <v>15</v>
      </c>
      <c r="S197" s="18" t="s">
        <v>15</v>
      </c>
    </row>
    <row r="198" spans="1:19" x14ac:dyDescent="0.25">
      <c r="A198" s="17">
        <v>197</v>
      </c>
      <c r="B198" s="18" t="s">
        <v>15</v>
      </c>
      <c r="C198" s="18" t="s">
        <v>15</v>
      </c>
      <c r="D198" s="18" t="s">
        <v>15</v>
      </c>
      <c r="E198" s="18" t="s">
        <v>15</v>
      </c>
      <c r="F198" s="18" t="s">
        <v>15</v>
      </c>
      <c r="G198" s="18" t="s">
        <v>15</v>
      </c>
      <c r="H198" s="18" t="s">
        <v>15</v>
      </c>
      <c r="I198" s="18" t="s">
        <v>15</v>
      </c>
      <c r="J198" s="18" t="s">
        <v>3136</v>
      </c>
      <c r="K198" s="18" t="s">
        <v>15</v>
      </c>
      <c r="L198" s="18" t="s">
        <v>15</v>
      </c>
      <c r="M198" s="18" t="s">
        <v>15</v>
      </c>
      <c r="N198" s="18" t="s">
        <v>15</v>
      </c>
      <c r="O198" s="18" t="s">
        <v>15</v>
      </c>
      <c r="P198" s="18" t="s">
        <v>15</v>
      </c>
      <c r="Q198" s="18" t="s">
        <v>15</v>
      </c>
      <c r="R198" s="18" t="s">
        <v>15</v>
      </c>
      <c r="S198" s="18" t="s">
        <v>15</v>
      </c>
    </row>
    <row r="199" spans="1:19" x14ac:dyDescent="0.25">
      <c r="A199" s="17">
        <v>198</v>
      </c>
      <c r="B199" s="18" t="s">
        <v>15</v>
      </c>
      <c r="C199" s="18" t="s">
        <v>15</v>
      </c>
      <c r="D199" s="18" t="s">
        <v>15</v>
      </c>
      <c r="E199" s="18" t="s">
        <v>15</v>
      </c>
      <c r="F199" s="18" t="s">
        <v>15</v>
      </c>
      <c r="G199" s="18" t="s">
        <v>15</v>
      </c>
      <c r="H199" s="18" t="s">
        <v>15</v>
      </c>
      <c r="I199" s="18" t="s">
        <v>15</v>
      </c>
      <c r="J199" s="18" t="s">
        <v>3137</v>
      </c>
      <c r="K199" s="18" t="s">
        <v>15</v>
      </c>
      <c r="L199" s="18" t="s">
        <v>15</v>
      </c>
      <c r="M199" s="18" t="s">
        <v>15</v>
      </c>
      <c r="N199" s="18" t="s">
        <v>15</v>
      </c>
      <c r="O199" s="18" t="s">
        <v>15</v>
      </c>
      <c r="P199" s="18" t="s">
        <v>15</v>
      </c>
      <c r="Q199" s="18" t="s">
        <v>15</v>
      </c>
      <c r="R199" s="18" t="s">
        <v>15</v>
      </c>
      <c r="S199" s="18" t="s">
        <v>15</v>
      </c>
    </row>
    <row r="200" spans="1:19" x14ac:dyDescent="0.25">
      <c r="A200" s="17">
        <v>199</v>
      </c>
      <c r="B200" s="18" t="s">
        <v>15</v>
      </c>
      <c r="C200" s="18" t="s">
        <v>15</v>
      </c>
      <c r="D200" s="18" t="s">
        <v>15</v>
      </c>
      <c r="E200" s="18" t="s">
        <v>15</v>
      </c>
      <c r="F200" s="18" t="s">
        <v>15</v>
      </c>
      <c r="G200" s="18" t="s">
        <v>15</v>
      </c>
      <c r="H200" s="18" t="s">
        <v>15</v>
      </c>
      <c r="I200" s="18" t="s">
        <v>15</v>
      </c>
      <c r="J200" s="18" t="s">
        <v>3138</v>
      </c>
      <c r="K200" s="18" t="s">
        <v>15</v>
      </c>
      <c r="L200" s="18" t="s">
        <v>15</v>
      </c>
      <c r="M200" s="18" t="s">
        <v>15</v>
      </c>
      <c r="N200" s="18" t="s">
        <v>15</v>
      </c>
      <c r="O200" s="18" t="s">
        <v>15</v>
      </c>
      <c r="P200" s="18" t="s">
        <v>15</v>
      </c>
      <c r="Q200" s="18" t="s">
        <v>15</v>
      </c>
      <c r="R200" s="18" t="s">
        <v>15</v>
      </c>
      <c r="S200" s="18" t="s">
        <v>15</v>
      </c>
    </row>
    <row r="201" spans="1:19" x14ac:dyDescent="0.25">
      <c r="A201" s="17">
        <v>200</v>
      </c>
      <c r="B201" s="18" t="s">
        <v>15</v>
      </c>
      <c r="C201" s="18" t="s">
        <v>15</v>
      </c>
      <c r="D201" s="18" t="s">
        <v>15</v>
      </c>
      <c r="E201" s="18" t="s">
        <v>15</v>
      </c>
      <c r="F201" s="18" t="s">
        <v>15</v>
      </c>
      <c r="G201" s="18" t="s">
        <v>15</v>
      </c>
      <c r="H201" s="18" t="s">
        <v>15</v>
      </c>
      <c r="I201" s="18" t="s">
        <v>15</v>
      </c>
      <c r="J201" s="18" t="s">
        <v>3139</v>
      </c>
      <c r="K201" s="18" t="s">
        <v>15</v>
      </c>
      <c r="L201" s="18" t="s">
        <v>15</v>
      </c>
      <c r="M201" s="18" t="s">
        <v>15</v>
      </c>
      <c r="N201" s="18" t="s">
        <v>15</v>
      </c>
      <c r="O201" s="18" t="s">
        <v>15</v>
      </c>
      <c r="P201" s="18" t="s">
        <v>15</v>
      </c>
      <c r="Q201" s="18" t="s">
        <v>15</v>
      </c>
      <c r="R201" s="18" t="s">
        <v>15</v>
      </c>
      <c r="S201" s="18" t="s">
        <v>15</v>
      </c>
    </row>
    <row r="202" spans="1:19" x14ac:dyDescent="0.25">
      <c r="A202" s="17">
        <v>201</v>
      </c>
      <c r="B202" s="18" t="s">
        <v>15</v>
      </c>
      <c r="C202" s="18" t="s">
        <v>15</v>
      </c>
      <c r="D202" s="18" t="s">
        <v>15</v>
      </c>
      <c r="E202" s="18" t="s">
        <v>15</v>
      </c>
      <c r="F202" s="18" t="s">
        <v>15</v>
      </c>
      <c r="G202" s="18" t="s">
        <v>15</v>
      </c>
      <c r="H202" s="18" t="s">
        <v>15</v>
      </c>
      <c r="I202" s="18" t="s">
        <v>15</v>
      </c>
      <c r="J202" s="18" t="s">
        <v>2932</v>
      </c>
      <c r="K202" s="18" t="s">
        <v>15</v>
      </c>
      <c r="L202" s="18" t="s">
        <v>15</v>
      </c>
      <c r="M202" s="18" t="s">
        <v>15</v>
      </c>
      <c r="N202" s="18" t="s">
        <v>15</v>
      </c>
      <c r="O202" s="18" t="s">
        <v>15</v>
      </c>
      <c r="P202" s="18" t="s">
        <v>15</v>
      </c>
      <c r="Q202" s="18" t="s">
        <v>15</v>
      </c>
      <c r="R202" s="18" t="s">
        <v>15</v>
      </c>
      <c r="S202" s="18" t="s">
        <v>15</v>
      </c>
    </row>
    <row r="203" spans="1:19" x14ac:dyDescent="0.25">
      <c r="A203" s="17">
        <v>202</v>
      </c>
      <c r="B203" s="18" t="s">
        <v>15</v>
      </c>
      <c r="C203" s="18" t="s">
        <v>15</v>
      </c>
      <c r="D203" s="18" t="s">
        <v>15</v>
      </c>
      <c r="E203" s="18" t="s">
        <v>15</v>
      </c>
      <c r="F203" s="18" t="s">
        <v>15</v>
      </c>
      <c r="G203" s="18" t="s">
        <v>15</v>
      </c>
      <c r="H203" s="18" t="s">
        <v>15</v>
      </c>
      <c r="I203" s="18" t="s">
        <v>15</v>
      </c>
      <c r="J203" s="18" t="s">
        <v>3140</v>
      </c>
      <c r="K203" s="18" t="s">
        <v>15</v>
      </c>
      <c r="L203" s="18" t="s">
        <v>15</v>
      </c>
      <c r="M203" s="18" t="s">
        <v>15</v>
      </c>
      <c r="N203" s="18" t="s">
        <v>15</v>
      </c>
      <c r="O203" s="18" t="s">
        <v>15</v>
      </c>
      <c r="P203" s="18" t="s">
        <v>15</v>
      </c>
      <c r="Q203" s="18" t="s">
        <v>15</v>
      </c>
      <c r="R203" s="18" t="s">
        <v>15</v>
      </c>
      <c r="S203" s="18" t="s">
        <v>15</v>
      </c>
    </row>
    <row r="204" spans="1:19" x14ac:dyDescent="0.25">
      <c r="A204" s="17">
        <v>203</v>
      </c>
      <c r="B204" s="18" t="s">
        <v>15</v>
      </c>
      <c r="C204" s="18" t="s">
        <v>15</v>
      </c>
      <c r="D204" s="18" t="s">
        <v>15</v>
      </c>
      <c r="E204" s="18" t="s">
        <v>15</v>
      </c>
      <c r="F204" s="18" t="s">
        <v>15</v>
      </c>
      <c r="G204" s="18" t="s">
        <v>15</v>
      </c>
      <c r="H204" s="18" t="s">
        <v>15</v>
      </c>
      <c r="I204" s="18" t="s">
        <v>15</v>
      </c>
      <c r="J204" s="18" t="s">
        <v>3141</v>
      </c>
      <c r="K204" s="18" t="s">
        <v>15</v>
      </c>
      <c r="L204" s="18" t="s">
        <v>15</v>
      </c>
      <c r="M204" s="18" t="s">
        <v>15</v>
      </c>
      <c r="N204" s="18" t="s">
        <v>15</v>
      </c>
      <c r="O204" s="18" t="s">
        <v>15</v>
      </c>
      <c r="P204" s="18" t="s">
        <v>15</v>
      </c>
      <c r="Q204" s="18" t="s">
        <v>15</v>
      </c>
      <c r="R204" s="18" t="s">
        <v>15</v>
      </c>
      <c r="S204" s="18" t="s">
        <v>15</v>
      </c>
    </row>
    <row r="205" spans="1:19" x14ac:dyDescent="0.25">
      <c r="A205" s="17">
        <v>204</v>
      </c>
      <c r="B205" s="18" t="s">
        <v>15</v>
      </c>
      <c r="C205" s="18" t="s">
        <v>15</v>
      </c>
      <c r="D205" s="18" t="s">
        <v>15</v>
      </c>
      <c r="E205" s="18" t="s">
        <v>15</v>
      </c>
      <c r="F205" s="18" t="s">
        <v>15</v>
      </c>
      <c r="G205" s="18" t="s">
        <v>15</v>
      </c>
      <c r="H205" s="18" t="s">
        <v>15</v>
      </c>
      <c r="I205" s="18" t="s">
        <v>15</v>
      </c>
      <c r="J205" s="18" t="s">
        <v>3142</v>
      </c>
      <c r="K205" s="18" t="s">
        <v>15</v>
      </c>
      <c r="L205" s="18" t="s">
        <v>15</v>
      </c>
      <c r="M205" s="18" t="s">
        <v>15</v>
      </c>
      <c r="N205" s="18" t="s">
        <v>15</v>
      </c>
      <c r="O205" s="18" t="s">
        <v>15</v>
      </c>
      <c r="P205" s="18" t="s">
        <v>15</v>
      </c>
      <c r="Q205" s="18" t="s">
        <v>15</v>
      </c>
      <c r="R205" s="18" t="s">
        <v>15</v>
      </c>
      <c r="S205" s="18" t="s">
        <v>15</v>
      </c>
    </row>
    <row r="206" spans="1:19" x14ac:dyDescent="0.25">
      <c r="A206" s="17">
        <v>205</v>
      </c>
      <c r="B206" s="18" t="s">
        <v>15</v>
      </c>
      <c r="C206" s="18" t="s">
        <v>15</v>
      </c>
      <c r="D206" s="18" t="s">
        <v>15</v>
      </c>
      <c r="E206" s="18" t="s">
        <v>15</v>
      </c>
      <c r="F206" s="18" t="s">
        <v>15</v>
      </c>
      <c r="G206" s="18" t="s">
        <v>15</v>
      </c>
      <c r="H206" s="18" t="s">
        <v>15</v>
      </c>
      <c r="I206" s="18" t="s">
        <v>15</v>
      </c>
      <c r="J206" s="18" t="s">
        <v>3143</v>
      </c>
      <c r="K206" s="18" t="s">
        <v>15</v>
      </c>
      <c r="L206" s="18" t="s">
        <v>15</v>
      </c>
      <c r="M206" s="18" t="s">
        <v>15</v>
      </c>
      <c r="N206" s="18" t="s">
        <v>15</v>
      </c>
      <c r="O206" s="18" t="s">
        <v>15</v>
      </c>
      <c r="P206" s="18" t="s">
        <v>15</v>
      </c>
      <c r="Q206" s="18" t="s">
        <v>15</v>
      </c>
      <c r="R206" s="18" t="s">
        <v>15</v>
      </c>
      <c r="S206" s="18" t="s">
        <v>15</v>
      </c>
    </row>
    <row r="207" spans="1:19" x14ac:dyDescent="0.25">
      <c r="A207" s="17">
        <v>206</v>
      </c>
      <c r="B207" s="18" t="s">
        <v>15</v>
      </c>
      <c r="C207" s="18" t="s">
        <v>15</v>
      </c>
      <c r="D207" s="18" t="s">
        <v>15</v>
      </c>
      <c r="E207" s="18" t="s">
        <v>15</v>
      </c>
      <c r="F207" s="18" t="s">
        <v>15</v>
      </c>
      <c r="G207" s="18" t="s">
        <v>15</v>
      </c>
      <c r="H207" s="18" t="s">
        <v>15</v>
      </c>
      <c r="I207" s="18" t="s">
        <v>15</v>
      </c>
      <c r="J207" s="18" t="s">
        <v>3144</v>
      </c>
      <c r="K207" s="18" t="s">
        <v>15</v>
      </c>
      <c r="L207" s="18" t="s">
        <v>15</v>
      </c>
      <c r="M207" s="18" t="s">
        <v>15</v>
      </c>
      <c r="N207" s="18" t="s">
        <v>15</v>
      </c>
      <c r="O207" s="18" t="s">
        <v>15</v>
      </c>
      <c r="P207" s="18" t="s">
        <v>15</v>
      </c>
      <c r="Q207" s="18" t="s">
        <v>15</v>
      </c>
      <c r="R207" s="18" t="s">
        <v>15</v>
      </c>
      <c r="S207" s="18" t="s">
        <v>15</v>
      </c>
    </row>
    <row r="208" spans="1:19" x14ac:dyDescent="0.25">
      <c r="A208" s="17">
        <v>207</v>
      </c>
      <c r="B208" s="18" t="s">
        <v>15</v>
      </c>
      <c r="C208" s="18" t="s">
        <v>15</v>
      </c>
      <c r="D208" s="18" t="s">
        <v>15</v>
      </c>
      <c r="E208" s="18" t="s">
        <v>15</v>
      </c>
      <c r="F208" s="18" t="s">
        <v>15</v>
      </c>
      <c r="G208" s="18" t="s">
        <v>15</v>
      </c>
      <c r="H208" s="18" t="s">
        <v>15</v>
      </c>
      <c r="I208" s="18" t="s">
        <v>15</v>
      </c>
      <c r="J208" s="18" t="s">
        <v>3145</v>
      </c>
      <c r="K208" s="18" t="s">
        <v>15</v>
      </c>
      <c r="L208" s="18" t="s">
        <v>15</v>
      </c>
      <c r="M208" s="18" t="s">
        <v>15</v>
      </c>
      <c r="N208" s="18" t="s">
        <v>15</v>
      </c>
      <c r="O208" s="18" t="s">
        <v>15</v>
      </c>
      <c r="P208" s="18" t="s">
        <v>15</v>
      </c>
      <c r="Q208" s="18" t="s">
        <v>15</v>
      </c>
      <c r="R208" s="18" t="s">
        <v>15</v>
      </c>
      <c r="S208" s="18" t="s">
        <v>15</v>
      </c>
    </row>
    <row r="209" spans="1:19" x14ac:dyDescent="0.25">
      <c r="A209" s="17">
        <v>208</v>
      </c>
      <c r="B209" s="18" t="s">
        <v>15</v>
      </c>
      <c r="C209" s="18" t="s">
        <v>15</v>
      </c>
      <c r="D209" s="18" t="s">
        <v>15</v>
      </c>
      <c r="E209" s="18" t="s">
        <v>15</v>
      </c>
      <c r="F209" s="18" t="s">
        <v>15</v>
      </c>
      <c r="G209" s="18" t="s">
        <v>15</v>
      </c>
      <c r="H209" s="18" t="s">
        <v>15</v>
      </c>
      <c r="I209" s="18" t="s">
        <v>15</v>
      </c>
      <c r="J209" s="18" t="s">
        <v>3146</v>
      </c>
      <c r="K209" s="18" t="s">
        <v>15</v>
      </c>
      <c r="L209" s="18" t="s">
        <v>15</v>
      </c>
      <c r="M209" s="18" t="s">
        <v>15</v>
      </c>
      <c r="N209" s="18" t="s">
        <v>15</v>
      </c>
      <c r="O209" s="18" t="s">
        <v>15</v>
      </c>
      <c r="P209" s="18" t="s">
        <v>15</v>
      </c>
      <c r="Q209" s="18" t="s">
        <v>15</v>
      </c>
      <c r="R209" s="18" t="s">
        <v>15</v>
      </c>
      <c r="S209" s="18" t="s">
        <v>15</v>
      </c>
    </row>
    <row r="210" spans="1:19" x14ac:dyDescent="0.25">
      <c r="A210" s="17">
        <v>209</v>
      </c>
      <c r="B210" s="18" t="s">
        <v>15</v>
      </c>
      <c r="C210" s="18" t="s">
        <v>15</v>
      </c>
      <c r="D210" s="18" t="s">
        <v>15</v>
      </c>
      <c r="E210" s="18" t="s">
        <v>15</v>
      </c>
      <c r="F210" s="18" t="s">
        <v>15</v>
      </c>
      <c r="G210" s="18" t="s">
        <v>15</v>
      </c>
      <c r="H210" s="18" t="s">
        <v>15</v>
      </c>
      <c r="I210" s="18" t="s">
        <v>15</v>
      </c>
      <c r="J210" s="18" t="s">
        <v>3147</v>
      </c>
      <c r="K210" s="18" t="s">
        <v>15</v>
      </c>
      <c r="L210" s="18" t="s">
        <v>15</v>
      </c>
      <c r="M210" s="18" t="s">
        <v>15</v>
      </c>
      <c r="N210" s="18" t="s">
        <v>15</v>
      </c>
      <c r="O210" s="18" t="s">
        <v>15</v>
      </c>
      <c r="P210" s="18" t="s">
        <v>15</v>
      </c>
      <c r="Q210" s="18" t="s">
        <v>15</v>
      </c>
      <c r="R210" s="18" t="s">
        <v>15</v>
      </c>
      <c r="S210" s="18" t="s">
        <v>15</v>
      </c>
    </row>
    <row r="211" spans="1:19" x14ac:dyDescent="0.25">
      <c r="A211" s="17">
        <v>210</v>
      </c>
      <c r="B211" s="18" t="s">
        <v>15</v>
      </c>
      <c r="C211" s="18" t="s">
        <v>15</v>
      </c>
      <c r="D211" s="18" t="s">
        <v>15</v>
      </c>
      <c r="E211" s="18" t="s">
        <v>15</v>
      </c>
      <c r="F211" s="18" t="s">
        <v>15</v>
      </c>
      <c r="G211" s="18" t="s">
        <v>15</v>
      </c>
      <c r="H211" s="18" t="s">
        <v>15</v>
      </c>
      <c r="I211" s="18" t="s">
        <v>15</v>
      </c>
      <c r="J211" s="18" t="s">
        <v>3148</v>
      </c>
      <c r="K211" s="18" t="s">
        <v>15</v>
      </c>
      <c r="L211" s="18" t="s">
        <v>15</v>
      </c>
      <c r="M211" s="18" t="s">
        <v>15</v>
      </c>
      <c r="N211" s="18" t="s">
        <v>15</v>
      </c>
      <c r="O211" s="18" t="s">
        <v>15</v>
      </c>
      <c r="P211" s="18" t="s">
        <v>15</v>
      </c>
      <c r="Q211" s="18" t="s">
        <v>15</v>
      </c>
      <c r="R211" s="18" t="s">
        <v>15</v>
      </c>
      <c r="S211" s="18" t="s">
        <v>15</v>
      </c>
    </row>
    <row r="212" spans="1:19" x14ac:dyDescent="0.25">
      <c r="A212" s="17">
        <v>211</v>
      </c>
      <c r="B212" s="18" t="s">
        <v>15</v>
      </c>
      <c r="C212" s="18" t="s">
        <v>15</v>
      </c>
      <c r="D212" s="18" t="s">
        <v>15</v>
      </c>
      <c r="E212" s="18" t="s">
        <v>15</v>
      </c>
      <c r="F212" s="18" t="s">
        <v>15</v>
      </c>
      <c r="G212" s="18" t="s">
        <v>15</v>
      </c>
      <c r="H212" s="18" t="s">
        <v>15</v>
      </c>
      <c r="I212" s="18" t="s">
        <v>15</v>
      </c>
      <c r="J212" s="18" t="s">
        <v>3149</v>
      </c>
      <c r="K212" s="18" t="s">
        <v>15</v>
      </c>
      <c r="L212" s="18" t="s">
        <v>15</v>
      </c>
      <c r="M212" s="18" t="s">
        <v>15</v>
      </c>
      <c r="N212" s="18" t="s">
        <v>15</v>
      </c>
      <c r="O212" s="18" t="s">
        <v>15</v>
      </c>
      <c r="P212" s="18" t="s">
        <v>15</v>
      </c>
      <c r="Q212" s="18" t="s">
        <v>15</v>
      </c>
      <c r="R212" s="18" t="s">
        <v>15</v>
      </c>
      <c r="S212" s="18" t="s">
        <v>15</v>
      </c>
    </row>
    <row r="213" spans="1:19" x14ac:dyDescent="0.25">
      <c r="A213" s="17">
        <v>212</v>
      </c>
      <c r="B213" s="18" t="s">
        <v>15</v>
      </c>
      <c r="C213" s="18" t="s">
        <v>15</v>
      </c>
      <c r="D213" s="18" t="s">
        <v>15</v>
      </c>
      <c r="E213" s="18" t="s">
        <v>15</v>
      </c>
      <c r="F213" s="18" t="s">
        <v>15</v>
      </c>
      <c r="G213" s="18" t="s">
        <v>15</v>
      </c>
      <c r="H213" s="18" t="s">
        <v>15</v>
      </c>
      <c r="I213" s="18" t="s">
        <v>15</v>
      </c>
      <c r="J213" s="18" t="s">
        <v>3150</v>
      </c>
      <c r="K213" s="18" t="s">
        <v>15</v>
      </c>
      <c r="L213" s="18" t="s">
        <v>15</v>
      </c>
      <c r="M213" s="18" t="s">
        <v>15</v>
      </c>
      <c r="N213" s="18" t="s">
        <v>15</v>
      </c>
      <c r="O213" s="18" t="s">
        <v>15</v>
      </c>
      <c r="P213" s="18" t="s">
        <v>15</v>
      </c>
      <c r="Q213" s="18" t="s">
        <v>15</v>
      </c>
      <c r="R213" s="18" t="s">
        <v>15</v>
      </c>
      <c r="S213" s="18" t="s">
        <v>15</v>
      </c>
    </row>
    <row r="214" spans="1:19" x14ac:dyDescent="0.25">
      <c r="A214" s="17">
        <v>213</v>
      </c>
      <c r="B214" s="18" t="s">
        <v>15</v>
      </c>
      <c r="C214" s="18" t="s">
        <v>15</v>
      </c>
      <c r="D214" s="18" t="s">
        <v>15</v>
      </c>
      <c r="E214" s="18" t="s">
        <v>15</v>
      </c>
      <c r="F214" s="18" t="s">
        <v>15</v>
      </c>
      <c r="G214" s="18" t="s">
        <v>15</v>
      </c>
      <c r="H214" s="18" t="s">
        <v>15</v>
      </c>
      <c r="I214" s="18" t="s">
        <v>15</v>
      </c>
      <c r="J214" s="18" t="s">
        <v>3151</v>
      </c>
      <c r="K214" s="18" t="s">
        <v>15</v>
      </c>
      <c r="L214" s="18" t="s">
        <v>15</v>
      </c>
      <c r="M214" s="18" t="s">
        <v>15</v>
      </c>
      <c r="N214" s="18" t="s">
        <v>15</v>
      </c>
      <c r="O214" s="18" t="s">
        <v>15</v>
      </c>
      <c r="P214" s="18" t="s">
        <v>15</v>
      </c>
      <c r="Q214" s="18" t="s">
        <v>15</v>
      </c>
      <c r="R214" s="18" t="s">
        <v>15</v>
      </c>
      <c r="S214" s="18" t="s">
        <v>15</v>
      </c>
    </row>
    <row r="215" spans="1:19" x14ac:dyDescent="0.25">
      <c r="A215" s="17">
        <v>214</v>
      </c>
      <c r="B215" s="18" t="s">
        <v>15</v>
      </c>
      <c r="C215" s="18" t="s">
        <v>15</v>
      </c>
      <c r="D215" s="18" t="s">
        <v>15</v>
      </c>
      <c r="E215" s="18" t="s">
        <v>15</v>
      </c>
      <c r="F215" s="18" t="s">
        <v>15</v>
      </c>
      <c r="G215" s="18" t="s">
        <v>15</v>
      </c>
      <c r="H215" s="18" t="s">
        <v>15</v>
      </c>
      <c r="I215" s="18" t="s">
        <v>15</v>
      </c>
      <c r="J215" s="18" t="s">
        <v>3152</v>
      </c>
      <c r="K215" s="18" t="s">
        <v>15</v>
      </c>
      <c r="L215" s="18" t="s">
        <v>15</v>
      </c>
      <c r="M215" s="18" t="s">
        <v>15</v>
      </c>
      <c r="N215" s="18" t="s">
        <v>15</v>
      </c>
      <c r="O215" s="18" t="s">
        <v>15</v>
      </c>
      <c r="P215" s="18" t="s">
        <v>15</v>
      </c>
      <c r="Q215" s="18" t="s">
        <v>15</v>
      </c>
      <c r="R215" s="18" t="s">
        <v>15</v>
      </c>
      <c r="S215" s="18" t="s">
        <v>15</v>
      </c>
    </row>
    <row r="216" spans="1:19" x14ac:dyDescent="0.25">
      <c r="A216" s="17">
        <v>215</v>
      </c>
      <c r="B216" s="18" t="s">
        <v>15</v>
      </c>
      <c r="C216" s="18" t="s">
        <v>15</v>
      </c>
      <c r="D216" s="18" t="s">
        <v>15</v>
      </c>
      <c r="E216" s="18" t="s">
        <v>15</v>
      </c>
      <c r="F216" s="18" t="s">
        <v>15</v>
      </c>
      <c r="G216" s="18" t="s">
        <v>15</v>
      </c>
      <c r="H216" s="18" t="s">
        <v>15</v>
      </c>
      <c r="I216" s="18" t="s">
        <v>15</v>
      </c>
      <c r="J216" s="18" t="s">
        <v>3153</v>
      </c>
      <c r="K216" s="18" t="s">
        <v>15</v>
      </c>
      <c r="L216" s="18" t="s">
        <v>15</v>
      </c>
      <c r="M216" s="18" t="s">
        <v>15</v>
      </c>
      <c r="N216" s="18" t="s">
        <v>15</v>
      </c>
      <c r="O216" s="18" t="s">
        <v>15</v>
      </c>
      <c r="P216" s="18" t="s">
        <v>15</v>
      </c>
      <c r="Q216" s="18" t="s">
        <v>15</v>
      </c>
      <c r="R216" s="18" t="s">
        <v>15</v>
      </c>
      <c r="S216" s="18" t="s">
        <v>15</v>
      </c>
    </row>
    <row r="217" spans="1:19" x14ac:dyDescent="0.25">
      <c r="A217" s="17">
        <v>216</v>
      </c>
      <c r="B217" s="18" t="s">
        <v>15</v>
      </c>
      <c r="C217" s="18" t="s">
        <v>15</v>
      </c>
      <c r="D217" s="18" t="s">
        <v>15</v>
      </c>
      <c r="E217" s="18" t="s">
        <v>15</v>
      </c>
      <c r="F217" s="18" t="s">
        <v>15</v>
      </c>
      <c r="G217" s="18" t="s">
        <v>15</v>
      </c>
      <c r="H217" s="18" t="s">
        <v>15</v>
      </c>
      <c r="I217" s="18" t="s">
        <v>15</v>
      </c>
      <c r="J217" s="18" t="s">
        <v>3154</v>
      </c>
      <c r="K217" s="18" t="s">
        <v>15</v>
      </c>
      <c r="L217" s="18" t="s">
        <v>15</v>
      </c>
      <c r="M217" s="18" t="s">
        <v>15</v>
      </c>
      <c r="N217" s="18" t="s">
        <v>15</v>
      </c>
      <c r="O217" s="18" t="s">
        <v>15</v>
      </c>
      <c r="P217" s="18" t="s">
        <v>15</v>
      </c>
      <c r="Q217" s="18" t="s">
        <v>15</v>
      </c>
      <c r="R217" s="18" t="s">
        <v>15</v>
      </c>
      <c r="S217" s="18" t="s">
        <v>15</v>
      </c>
    </row>
    <row r="218" spans="1:19" x14ac:dyDescent="0.25">
      <c r="A218" s="17">
        <v>217</v>
      </c>
      <c r="B218" s="18" t="s">
        <v>15</v>
      </c>
      <c r="C218" s="18" t="s">
        <v>15</v>
      </c>
      <c r="D218" s="18" t="s">
        <v>15</v>
      </c>
      <c r="E218" s="18" t="s">
        <v>15</v>
      </c>
      <c r="F218" s="18" t="s">
        <v>15</v>
      </c>
      <c r="G218" s="18" t="s">
        <v>15</v>
      </c>
      <c r="H218" s="18" t="s">
        <v>15</v>
      </c>
      <c r="I218" s="18" t="s">
        <v>15</v>
      </c>
      <c r="J218" s="18" t="s">
        <v>3155</v>
      </c>
      <c r="K218" s="18" t="s">
        <v>15</v>
      </c>
      <c r="L218" s="18" t="s">
        <v>15</v>
      </c>
      <c r="M218" s="18" t="s">
        <v>15</v>
      </c>
      <c r="N218" s="18" t="s">
        <v>15</v>
      </c>
      <c r="O218" s="18" t="s">
        <v>15</v>
      </c>
      <c r="P218" s="18" t="s">
        <v>15</v>
      </c>
      <c r="Q218" s="18" t="s">
        <v>15</v>
      </c>
      <c r="R218" s="18" t="s">
        <v>15</v>
      </c>
      <c r="S218" s="18" t="s">
        <v>15</v>
      </c>
    </row>
    <row r="219" spans="1:19" x14ac:dyDescent="0.25">
      <c r="A219" s="17">
        <v>218</v>
      </c>
      <c r="B219" s="18" t="s">
        <v>15</v>
      </c>
      <c r="C219" s="18" t="s">
        <v>15</v>
      </c>
      <c r="D219" s="18" t="s">
        <v>15</v>
      </c>
      <c r="E219" s="18" t="s">
        <v>15</v>
      </c>
      <c r="F219" s="18" t="s">
        <v>15</v>
      </c>
      <c r="G219" s="18" t="s">
        <v>15</v>
      </c>
      <c r="H219" s="18" t="s">
        <v>15</v>
      </c>
      <c r="I219" s="18" t="s">
        <v>15</v>
      </c>
      <c r="J219" s="18" t="s">
        <v>3156</v>
      </c>
      <c r="K219" s="18" t="s">
        <v>15</v>
      </c>
      <c r="L219" s="18" t="s">
        <v>15</v>
      </c>
      <c r="M219" s="18" t="s">
        <v>15</v>
      </c>
      <c r="N219" s="18" t="s">
        <v>15</v>
      </c>
      <c r="O219" s="18" t="s">
        <v>15</v>
      </c>
      <c r="P219" s="18" t="s">
        <v>15</v>
      </c>
      <c r="Q219" s="18" t="s">
        <v>15</v>
      </c>
      <c r="R219" s="18" t="s">
        <v>15</v>
      </c>
      <c r="S219" s="18" t="s">
        <v>15</v>
      </c>
    </row>
    <row r="220" spans="1:19" x14ac:dyDescent="0.25">
      <c r="A220" s="17">
        <v>219</v>
      </c>
      <c r="B220" s="18" t="s">
        <v>15</v>
      </c>
      <c r="C220" s="18" t="s">
        <v>15</v>
      </c>
      <c r="D220" s="18" t="s">
        <v>15</v>
      </c>
      <c r="E220" s="18" t="s">
        <v>15</v>
      </c>
      <c r="F220" s="18" t="s">
        <v>15</v>
      </c>
      <c r="G220" s="18" t="s">
        <v>15</v>
      </c>
      <c r="H220" s="18" t="s">
        <v>15</v>
      </c>
      <c r="I220" s="18" t="s">
        <v>15</v>
      </c>
      <c r="J220" s="18" t="s">
        <v>3157</v>
      </c>
      <c r="K220" s="18" t="s">
        <v>15</v>
      </c>
      <c r="L220" s="18" t="s">
        <v>15</v>
      </c>
      <c r="M220" s="18" t="s">
        <v>15</v>
      </c>
      <c r="N220" s="18" t="s">
        <v>15</v>
      </c>
      <c r="O220" s="18" t="s">
        <v>15</v>
      </c>
      <c r="P220" s="18" t="s">
        <v>15</v>
      </c>
      <c r="Q220" s="18" t="s">
        <v>15</v>
      </c>
      <c r="R220" s="18" t="s">
        <v>15</v>
      </c>
      <c r="S220" s="18" t="s">
        <v>15</v>
      </c>
    </row>
    <row r="221" spans="1:19" x14ac:dyDescent="0.25">
      <c r="A221" s="17">
        <v>220</v>
      </c>
      <c r="B221" s="18" t="s">
        <v>15</v>
      </c>
      <c r="C221" s="18" t="s">
        <v>15</v>
      </c>
      <c r="D221" s="18" t="s">
        <v>15</v>
      </c>
      <c r="E221" s="18" t="s">
        <v>15</v>
      </c>
      <c r="F221" s="18" t="s">
        <v>15</v>
      </c>
      <c r="G221" s="18" t="s">
        <v>15</v>
      </c>
      <c r="H221" s="18" t="s">
        <v>15</v>
      </c>
      <c r="I221" s="18" t="s">
        <v>15</v>
      </c>
      <c r="J221" s="18" t="s">
        <v>3158</v>
      </c>
      <c r="K221" s="18" t="s">
        <v>15</v>
      </c>
      <c r="L221" s="18" t="s">
        <v>15</v>
      </c>
      <c r="M221" s="18" t="s">
        <v>15</v>
      </c>
      <c r="N221" s="18" t="s">
        <v>15</v>
      </c>
      <c r="O221" s="18" t="s">
        <v>15</v>
      </c>
      <c r="P221" s="18" t="s">
        <v>15</v>
      </c>
      <c r="Q221" s="18" t="s">
        <v>15</v>
      </c>
      <c r="R221" s="18" t="s">
        <v>15</v>
      </c>
      <c r="S221" s="18" t="s">
        <v>15</v>
      </c>
    </row>
    <row r="222" spans="1:19" x14ac:dyDescent="0.25">
      <c r="A222" s="17">
        <v>221</v>
      </c>
      <c r="B222" s="18" t="s">
        <v>15</v>
      </c>
      <c r="C222" s="18" t="s">
        <v>15</v>
      </c>
      <c r="D222" s="18" t="s">
        <v>15</v>
      </c>
      <c r="E222" s="18" t="s">
        <v>15</v>
      </c>
      <c r="F222" s="18" t="s">
        <v>15</v>
      </c>
      <c r="G222" s="18" t="s">
        <v>15</v>
      </c>
      <c r="H222" s="18" t="s">
        <v>15</v>
      </c>
      <c r="I222" s="18" t="s">
        <v>15</v>
      </c>
      <c r="J222" s="18" t="s">
        <v>3159</v>
      </c>
      <c r="K222" s="18" t="s">
        <v>15</v>
      </c>
      <c r="L222" s="18" t="s">
        <v>15</v>
      </c>
      <c r="M222" s="18" t="s">
        <v>15</v>
      </c>
      <c r="N222" s="18" t="s">
        <v>15</v>
      </c>
      <c r="O222" s="18" t="s">
        <v>15</v>
      </c>
      <c r="P222" s="18" t="s">
        <v>15</v>
      </c>
      <c r="Q222" s="18" t="s">
        <v>15</v>
      </c>
      <c r="R222" s="18" t="s">
        <v>15</v>
      </c>
      <c r="S222" s="18" t="s">
        <v>15</v>
      </c>
    </row>
    <row r="223" spans="1:19" x14ac:dyDescent="0.25">
      <c r="A223" s="17">
        <v>222</v>
      </c>
      <c r="B223" s="18" t="s">
        <v>15</v>
      </c>
      <c r="C223" s="18" t="s">
        <v>15</v>
      </c>
      <c r="D223" s="18" t="s">
        <v>15</v>
      </c>
      <c r="E223" s="18" t="s">
        <v>15</v>
      </c>
      <c r="F223" s="18" t="s">
        <v>15</v>
      </c>
      <c r="G223" s="18" t="s">
        <v>15</v>
      </c>
      <c r="H223" s="18" t="s">
        <v>15</v>
      </c>
      <c r="I223" s="18" t="s">
        <v>15</v>
      </c>
      <c r="J223" s="18" t="s">
        <v>3160</v>
      </c>
      <c r="K223" s="18" t="s">
        <v>15</v>
      </c>
      <c r="L223" s="18" t="s">
        <v>15</v>
      </c>
      <c r="M223" s="18" t="s">
        <v>15</v>
      </c>
      <c r="N223" s="18" t="s">
        <v>15</v>
      </c>
      <c r="O223" s="18" t="s">
        <v>15</v>
      </c>
      <c r="P223" s="18" t="s">
        <v>15</v>
      </c>
      <c r="Q223" s="18" t="s">
        <v>15</v>
      </c>
      <c r="R223" s="18" t="s">
        <v>15</v>
      </c>
      <c r="S223" s="18" t="s">
        <v>15</v>
      </c>
    </row>
    <row r="224" spans="1:19" x14ac:dyDescent="0.25">
      <c r="A224" s="17">
        <v>223</v>
      </c>
      <c r="B224" s="18" t="s">
        <v>15</v>
      </c>
      <c r="C224" s="18" t="s">
        <v>15</v>
      </c>
      <c r="D224" s="18" t="s">
        <v>15</v>
      </c>
      <c r="E224" s="18" t="s">
        <v>15</v>
      </c>
      <c r="F224" s="18" t="s">
        <v>15</v>
      </c>
      <c r="G224" s="18" t="s">
        <v>15</v>
      </c>
      <c r="H224" s="18" t="s">
        <v>15</v>
      </c>
      <c r="I224" s="18" t="s">
        <v>15</v>
      </c>
      <c r="J224" s="18" t="s">
        <v>3161</v>
      </c>
      <c r="K224" s="18" t="s">
        <v>15</v>
      </c>
      <c r="L224" s="18" t="s">
        <v>15</v>
      </c>
      <c r="M224" s="18" t="s">
        <v>15</v>
      </c>
      <c r="N224" s="18" t="s">
        <v>15</v>
      </c>
      <c r="O224" s="18" t="s">
        <v>15</v>
      </c>
      <c r="P224" s="18" t="s">
        <v>15</v>
      </c>
      <c r="Q224" s="18" t="s">
        <v>15</v>
      </c>
      <c r="R224" s="18" t="s">
        <v>15</v>
      </c>
      <c r="S224" s="18" t="s">
        <v>15</v>
      </c>
    </row>
    <row r="225" spans="1:19" x14ac:dyDescent="0.25">
      <c r="A225" s="17">
        <v>224</v>
      </c>
      <c r="B225" s="18" t="s">
        <v>15</v>
      </c>
      <c r="C225" s="18" t="s">
        <v>15</v>
      </c>
      <c r="D225" s="18" t="s">
        <v>15</v>
      </c>
      <c r="E225" s="18" t="s">
        <v>15</v>
      </c>
      <c r="F225" s="18" t="s">
        <v>15</v>
      </c>
      <c r="G225" s="18" t="s">
        <v>15</v>
      </c>
      <c r="H225" s="18" t="s">
        <v>15</v>
      </c>
      <c r="I225" s="18" t="s">
        <v>15</v>
      </c>
      <c r="J225" s="18" t="s">
        <v>3162</v>
      </c>
      <c r="K225" s="18" t="s">
        <v>15</v>
      </c>
      <c r="L225" s="18" t="s">
        <v>15</v>
      </c>
      <c r="M225" s="18" t="s">
        <v>15</v>
      </c>
      <c r="N225" s="18" t="s">
        <v>15</v>
      </c>
      <c r="O225" s="18" t="s">
        <v>15</v>
      </c>
      <c r="P225" s="18" t="s">
        <v>15</v>
      </c>
      <c r="Q225" s="18" t="s">
        <v>15</v>
      </c>
      <c r="R225" s="18" t="s">
        <v>15</v>
      </c>
      <c r="S225" s="18" t="s">
        <v>15</v>
      </c>
    </row>
    <row r="226" spans="1:19" x14ac:dyDescent="0.25">
      <c r="A226" s="17">
        <v>225</v>
      </c>
      <c r="B226" s="18" t="s">
        <v>15</v>
      </c>
      <c r="C226" s="18" t="s">
        <v>15</v>
      </c>
      <c r="D226" s="18" t="s">
        <v>15</v>
      </c>
      <c r="E226" s="18" t="s">
        <v>15</v>
      </c>
      <c r="F226" s="18" t="s">
        <v>15</v>
      </c>
      <c r="G226" s="18" t="s">
        <v>15</v>
      </c>
      <c r="H226" s="18" t="s">
        <v>15</v>
      </c>
      <c r="I226" s="18" t="s">
        <v>15</v>
      </c>
      <c r="J226" s="18" t="s">
        <v>3163</v>
      </c>
      <c r="K226" s="18" t="s">
        <v>15</v>
      </c>
      <c r="L226" s="18" t="s">
        <v>15</v>
      </c>
      <c r="M226" s="18" t="s">
        <v>15</v>
      </c>
      <c r="N226" s="18" t="s">
        <v>15</v>
      </c>
      <c r="O226" s="18" t="s">
        <v>15</v>
      </c>
      <c r="P226" s="18" t="s">
        <v>15</v>
      </c>
      <c r="Q226" s="18" t="s">
        <v>15</v>
      </c>
      <c r="R226" s="18" t="s">
        <v>15</v>
      </c>
      <c r="S226" s="18" t="s">
        <v>15</v>
      </c>
    </row>
    <row r="227" spans="1:19" x14ac:dyDescent="0.25">
      <c r="A227" s="17">
        <v>226</v>
      </c>
      <c r="B227" s="18" t="s">
        <v>3164</v>
      </c>
      <c r="C227" s="18" t="s">
        <v>3165</v>
      </c>
      <c r="D227" s="18" t="s">
        <v>44</v>
      </c>
      <c r="E227" s="18" t="s">
        <v>3166</v>
      </c>
      <c r="F227" s="18" t="s">
        <v>15</v>
      </c>
      <c r="G227" s="18" t="s">
        <v>15</v>
      </c>
      <c r="H227" s="18" t="s">
        <v>15</v>
      </c>
      <c r="I227" s="18" t="s">
        <v>3167</v>
      </c>
      <c r="J227" s="18" t="s">
        <v>2910</v>
      </c>
      <c r="K227" s="18" t="s">
        <v>3168</v>
      </c>
      <c r="L227" s="18" t="s">
        <v>3169</v>
      </c>
      <c r="M227" s="18" t="s">
        <v>15</v>
      </c>
      <c r="N227" s="18" t="s">
        <v>15</v>
      </c>
      <c r="O227" s="18" t="s">
        <v>3170</v>
      </c>
      <c r="P227" s="18" t="s">
        <v>15</v>
      </c>
      <c r="Q227" s="18" t="s">
        <v>15</v>
      </c>
      <c r="R227" s="18" t="s">
        <v>3171</v>
      </c>
      <c r="S227" s="18" t="s">
        <v>15</v>
      </c>
    </row>
    <row r="228" spans="1:19" x14ac:dyDescent="0.25">
      <c r="A228" s="17">
        <v>227</v>
      </c>
      <c r="B228" s="18" t="s">
        <v>3172</v>
      </c>
      <c r="C228" s="18" t="s">
        <v>3165</v>
      </c>
      <c r="D228" s="18" t="s">
        <v>44</v>
      </c>
      <c r="E228" s="18" t="s">
        <v>3166</v>
      </c>
      <c r="F228" s="18" t="s">
        <v>15</v>
      </c>
      <c r="G228" s="18" t="s">
        <v>15</v>
      </c>
      <c r="H228" s="18" t="s">
        <v>15</v>
      </c>
      <c r="I228" s="18" t="s">
        <v>3167</v>
      </c>
      <c r="J228" s="18" t="s">
        <v>2868</v>
      </c>
      <c r="K228" s="18" t="s">
        <v>3168</v>
      </c>
      <c r="L228" s="18" t="s">
        <v>3173</v>
      </c>
      <c r="M228" s="18" t="s">
        <v>15</v>
      </c>
      <c r="N228" s="18" t="s">
        <v>15</v>
      </c>
      <c r="O228" s="18" t="s">
        <v>3170</v>
      </c>
      <c r="P228" s="18" t="s">
        <v>15</v>
      </c>
      <c r="Q228" s="18" t="s">
        <v>15</v>
      </c>
      <c r="R228" s="18" t="s">
        <v>3171</v>
      </c>
      <c r="S228" s="18" t="s">
        <v>15</v>
      </c>
    </row>
    <row r="229" spans="1:19" x14ac:dyDescent="0.25">
      <c r="A229" s="17">
        <v>228</v>
      </c>
      <c r="B229" s="18" t="s">
        <v>3174</v>
      </c>
      <c r="C229" s="18" t="s">
        <v>3165</v>
      </c>
      <c r="D229" s="18" t="s">
        <v>44</v>
      </c>
      <c r="E229" s="18" t="s">
        <v>3166</v>
      </c>
      <c r="F229" s="18" t="s">
        <v>15</v>
      </c>
      <c r="G229" s="18" t="s">
        <v>15</v>
      </c>
      <c r="H229" s="18" t="s">
        <v>15</v>
      </c>
      <c r="I229" s="18" t="s">
        <v>3167</v>
      </c>
      <c r="J229" s="18" t="s">
        <v>3163</v>
      </c>
      <c r="K229" s="18" t="s">
        <v>3168</v>
      </c>
      <c r="L229" s="18" t="s">
        <v>3175</v>
      </c>
      <c r="M229" s="18" t="s">
        <v>15</v>
      </c>
      <c r="N229" s="18" t="s">
        <v>15</v>
      </c>
      <c r="O229" s="18" t="s">
        <v>3170</v>
      </c>
      <c r="P229" s="18" t="s">
        <v>15</v>
      </c>
      <c r="Q229" s="18" t="s">
        <v>15</v>
      </c>
      <c r="R229" s="18" t="s">
        <v>3171</v>
      </c>
      <c r="S229" s="18" t="s">
        <v>15</v>
      </c>
    </row>
    <row r="230" spans="1:19" x14ac:dyDescent="0.25">
      <c r="A230" s="17">
        <v>229</v>
      </c>
      <c r="B230" s="18" t="s">
        <v>3176</v>
      </c>
      <c r="C230" s="18" t="s">
        <v>3165</v>
      </c>
      <c r="D230" s="18" t="s">
        <v>44</v>
      </c>
      <c r="E230" s="18" t="s">
        <v>3166</v>
      </c>
      <c r="F230" s="18" t="s">
        <v>15</v>
      </c>
      <c r="G230" s="18" t="s">
        <v>15</v>
      </c>
      <c r="H230" s="18" t="s">
        <v>15</v>
      </c>
      <c r="I230" s="18" t="s">
        <v>3167</v>
      </c>
      <c r="J230" s="18" t="s">
        <v>3123</v>
      </c>
      <c r="K230" s="18" t="s">
        <v>3168</v>
      </c>
      <c r="L230" s="18" t="s">
        <v>3177</v>
      </c>
      <c r="M230" s="18" t="s">
        <v>15</v>
      </c>
      <c r="N230" s="18" t="s">
        <v>15</v>
      </c>
      <c r="O230" s="18" t="s">
        <v>3170</v>
      </c>
      <c r="P230" s="18" t="s">
        <v>15</v>
      </c>
      <c r="Q230" s="18" t="s">
        <v>15</v>
      </c>
      <c r="R230" s="18" t="s">
        <v>3171</v>
      </c>
      <c r="S230" s="18" t="s">
        <v>15</v>
      </c>
    </row>
    <row r="231" spans="1:19" x14ac:dyDescent="0.25">
      <c r="A231" s="17">
        <v>230</v>
      </c>
      <c r="B231" s="18" t="s">
        <v>3178</v>
      </c>
      <c r="C231" s="18" t="s">
        <v>3165</v>
      </c>
      <c r="D231" s="18" t="s">
        <v>44</v>
      </c>
      <c r="E231" s="18" t="s">
        <v>3166</v>
      </c>
      <c r="F231" s="18" t="s">
        <v>15</v>
      </c>
      <c r="G231" s="18" t="s">
        <v>15</v>
      </c>
      <c r="H231" s="18" t="s">
        <v>15</v>
      </c>
      <c r="I231" s="18" t="s">
        <v>3167</v>
      </c>
      <c r="J231" s="18" t="s">
        <v>2889</v>
      </c>
      <c r="K231" s="18" t="s">
        <v>3168</v>
      </c>
      <c r="L231" s="18" t="s">
        <v>3179</v>
      </c>
      <c r="M231" s="18" t="s">
        <v>15</v>
      </c>
      <c r="N231" s="18" t="s">
        <v>15</v>
      </c>
      <c r="O231" s="18" t="s">
        <v>3170</v>
      </c>
      <c r="P231" s="18" t="s">
        <v>15</v>
      </c>
      <c r="Q231" s="18" t="s">
        <v>15</v>
      </c>
      <c r="R231" s="18" t="s">
        <v>3171</v>
      </c>
      <c r="S231" s="18" t="s">
        <v>15</v>
      </c>
    </row>
    <row r="232" spans="1:19" x14ac:dyDescent="0.25">
      <c r="A232" s="17">
        <v>231</v>
      </c>
      <c r="B232" s="18" t="s">
        <v>3180</v>
      </c>
      <c r="C232" s="18" t="s">
        <v>3165</v>
      </c>
      <c r="D232" s="18" t="s">
        <v>44</v>
      </c>
      <c r="E232" s="18" t="s">
        <v>3166</v>
      </c>
      <c r="F232" s="18" t="s">
        <v>15</v>
      </c>
      <c r="G232" s="18" t="s">
        <v>15</v>
      </c>
      <c r="H232" s="18" t="s">
        <v>15</v>
      </c>
      <c r="I232" s="18" t="s">
        <v>3167</v>
      </c>
      <c r="J232" s="18" t="s">
        <v>3181</v>
      </c>
      <c r="K232" s="18" t="s">
        <v>3168</v>
      </c>
      <c r="L232" s="18" t="s">
        <v>3182</v>
      </c>
      <c r="M232" s="18" t="s">
        <v>15</v>
      </c>
      <c r="N232" s="18" t="s">
        <v>15</v>
      </c>
      <c r="O232" s="18" t="s">
        <v>3170</v>
      </c>
      <c r="P232" s="18" t="s">
        <v>15</v>
      </c>
      <c r="Q232" s="18" t="s">
        <v>15</v>
      </c>
      <c r="R232" s="18" t="s">
        <v>3171</v>
      </c>
      <c r="S232" s="18" t="s">
        <v>15</v>
      </c>
    </row>
    <row r="233" spans="1:19" x14ac:dyDescent="0.25">
      <c r="A233" s="17">
        <v>232</v>
      </c>
      <c r="B233" s="18" t="s">
        <v>3183</v>
      </c>
      <c r="C233" s="18" t="s">
        <v>3165</v>
      </c>
      <c r="D233" s="18" t="s">
        <v>44</v>
      </c>
      <c r="E233" s="18" t="s">
        <v>3166</v>
      </c>
      <c r="F233" s="18" t="s">
        <v>15</v>
      </c>
      <c r="G233" s="18" t="s">
        <v>15</v>
      </c>
      <c r="H233" s="18" t="s">
        <v>15</v>
      </c>
      <c r="I233" s="18" t="s">
        <v>3167</v>
      </c>
      <c r="J233" s="18" t="s">
        <v>3002</v>
      </c>
      <c r="K233" s="18" t="s">
        <v>3168</v>
      </c>
      <c r="L233" s="18" t="s">
        <v>3184</v>
      </c>
      <c r="M233" s="18" t="s">
        <v>15</v>
      </c>
      <c r="N233" s="18" t="s">
        <v>15</v>
      </c>
      <c r="O233" s="18" t="s">
        <v>3170</v>
      </c>
      <c r="P233" s="18" t="s">
        <v>15</v>
      </c>
      <c r="Q233" s="18" t="s">
        <v>15</v>
      </c>
      <c r="R233" s="18" t="s">
        <v>3171</v>
      </c>
      <c r="S233" s="18" t="s">
        <v>15</v>
      </c>
    </row>
    <row r="234" spans="1:19" x14ac:dyDescent="0.25">
      <c r="A234" s="17">
        <v>233</v>
      </c>
      <c r="B234" s="18" t="s">
        <v>3185</v>
      </c>
      <c r="C234" s="18" t="s">
        <v>3165</v>
      </c>
      <c r="D234" s="18" t="s">
        <v>44</v>
      </c>
      <c r="E234" s="18" t="s">
        <v>3166</v>
      </c>
      <c r="F234" s="18" t="s">
        <v>15</v>
      </c>
      <c r="G234" s="18" t="s">
        <v>15</v>
      </c>
      <c r="H234" s="18" t="s">
        <v>15</v>
      </c>
      <c r="I234" s="18" t="s">
        <v>3167</v>
      </c>
      <c r="J234" s="18" t="s">
        <v>2924</v>
      </c>
      <c r="K234" s="18" t="s">
        <v>3168</v>
      </c>
      <c r="L234" s="18" t="s">
        <v>3186</v>
      </c>
      <c r="M234" s="18" t="s">
        <v>15</v>
      </c>
      <c r="N234" s="18" t="s">
        <v>15</v>
      </c>
      <c r="O234" s="18" t="s">
        <v>3170</v>
      </c>
      <c r="P234" s="18" t="s">
        <v>15</v>
      </c>
      <c r="Q234" s="18" t="s">
        <v>15</v>
      </c>
      <c r="R234" s="18" t="s">
        <v>3171</v>
      </c>
      <c r="S234" s="18" t="s">
        <v>15</v>
      </c>
    </row>
    <row r="235" spans="1:19" x14ac:dyDescent="0.25">
      <c r="A235" s="17">
        <v>234</v>
      </c>
      <c r="B235" s="18" t="s">
        <v>3187</v>
      </c>
      <c r="C235" s="18" t="s">
        <v>3165</v>
      </c>
      <c r="D235" s="18" t="s">
        <v>44</v>
      </c>
      <c r="E235" s="18" t="s">
        <v>3166</v>
      </c>
      <c r="F235" s="18" t="s">
        <v>15</v>
      </c>
      <c r="G235" s="18" t="s">
        <v>15</v>
      </c>
      <c r="H235" s="18" t="s">
        <v>15</v>
      </c>
      <c r="I235" s="18" t="s">
        <v>3167</v>
      </c>
      <c r="J235" s="18" t="s">
        <v>3050</v>
      </c>
      <c r="K235" s="18" t="s">
        <v>3168</v>
      </c>
      <c r="L235" s="18" t="s">
        <v>3188</v>
      </c>
      <c r="M235" s="18" t="s">
        <v>15</v>
      </c>
      <c r="N235" s="18" t="s">
        <v>15</v>
      </c>
      <c r="O235" s="18" t="s">
        <v>3170</v>
      </c>
      <c r="P235" s="18" t="s">
        <v>15</v>
      </c>
      <c r="Q235" s="18" t="s">
        <v>15</v>
      </c>
      <c r="R235" s="18" t="s">
        <v>3171</v>
      </c>
      <c r="S235" s="18" t="s">
        <v>15</v>
      </c>
    </row>
    <row r="236" spans="1:19" x14ac:dyDescent="0.25">
      <c r="A236" s="17">
        <v>235</v>
      </c>
      <c r="B236" s="18" t="s">
        <v>3189</v>
      </c>
      <c r="C236" s="18" t="s">
        <v>3165</v>
      </c>
      <c r="D236" s="18" t="s">
        <v>44</v>
      </c>
      <c r="E236" s="18" t="s">
        <v>3166</v>
      </c>
      <c r="F236" s="18" t="s">
        <v>15</v>
      </c>
      <c r="G236" s="18" t="s">
        <v>15</v>
      </c>
      <c r="H236" s="18" t="s">
        <v>15</v>
      </c>
      <c r="I236" s="18" t="s">
        <v>3167</v>
      </c>
      <c r="J236" s="18" t="s">
        <v>2932</v>
      </c>
      <c r="K236" s="18" t="s">
        <v>3168</v>
      </c>
      <c r="L236" s="18" t="s">
        <v>3190</v>
      </c>
      <c r="M236" s="18" t="s">
        <v>15</v>
      </c>
      <c r="N236" s="18" t="s">
        <v>15</v>
      </c>
      <c r="O236" s="18" t="s">
        <v>3170</v>
      </c>
      <c r="P236" s="18" t="s">
        <v>15</v>
      </c>
      <c r="Q236" s="18" t="s">
        <v>15</v>
      </c>
      <c r="R236" s="18" t="s">
        <v>3171</v>
      </c>
      <c r="S236" s="18" t="s">
        <v>15</v>
      </c>
    </row>
    <row r="237" spans="1:19" x14ac:dyDescent="0.25">
      <c r="A237" s="17">
        <v>236</v>
      </c>
      <c r="B237" s="18" t="s">
        <v>3191</v>
      </c>
      <c r="C237" s="18" t="s">
        <v>3165</v>
      </c>
      <c r="D237" s="18" t="s">
        <v>44</v>
      </c>
      <c r="E237" s="18" t="s">
        <v>3166</v>
      </c>
      <c r="F237" s="18" t="s">
        <v>15</v>
      </c>
      <c r="G237" s="18" t="s">
        <v>15</v>
      </c>
      <c r="H237" s="18" t="s">
        <v>15</v>
      </c>
      <c r="I237" s="18" t="s">
        <v>3167</v>
      </c>
      <c r="J237" s="18" t="s">
        <v>3085</v>
      </c>
      <c r="K237" s="18" t="s">
        <v>3168</v>
      </c>
      <c r="L237" s="18" t="s">
        <v>3192</v>
      </c>
      <c r="M237" s="18" t="s">
        <v>15</v>
      </c>
      <c r="N237" s="18" t="s">
        <v>15</v>
      </c>
      <c r="O237" s="18" t="s">
        <v>3170</v>
      </c>
      <c r="P237" s="18" t="s">
        <v>15</v>
      </c>
      <c r="Q237" s="18" t="s">
        <v>15</v>
      </c>
      <c r="R237" s="18" t="s">
        <v>3171</v>
      </c>
      <c r="S237" s="18" t="s">
        <v>15</v>
      </c>
    </row>
    <row r="238" spans="1:19" x14ac:dyDescent="0.25">
      <c r="A238" s="17">
        <v>237</v>
      </c>
      <c r="B238" s="18" t="s">
        <v>3193</v>
      </c>
      <c r="C238" s="18" t="s">
        <v>3165</v>
      </c>
      <c r="D238" s="18" t="s">
        <v>44</v>
      </c>
      <c r="E238" s="18" t="s">
        <v>3166</v>
      </c>
      <c r="F238" s="18" t="s">
        <v>15</v>
      </c>
      <c r="G238" s="18" t="s">
        <v>15</v>
      </c>
      <c r="H238" s="18" t="s">
        <v>15</v>
      </c>
      <c r="I238" s="18" t="s">
        <v>3167</v>
      </c>
      <c r="J238" s="18" t="s">
        <v>3069</v>
      </c>
      <c r="K238" s="18" t="s">
        <v>3168</v>
      </c>
      <c r="L238" s="18" t="s">
        <v>3194</v>
      </c>
      <c r="M238" s="18" t="s">
        <v>15</v>
      </c>
      <c r="N238" s="18" t="s">
        <v>15</v>
      </c>
      <c r="O238" s="18" t="s">
        <v>3170</v>
      </c>
      <c r="P238" s="18" t="s">
        <v>15</v>
      </c>
      <c r="Q238" s="18" t="s">
        <v>15</v>
      </c>
      <c r="R238" s="18" t="s">
        <v>3171</v>
      </c>
      <c r="S238" s="18" t="s">
        <v>15</v>
      </c>
    </row>
    <row r="239" spans="1:19" x14ac:dyDescent="0.25">
      <c r="A239" s="17">
        <v>238</v>
      </c>
      <c r="B239" s="18" t="s">
        <v>3195</v>
      </c>
      <c r="C239" s="18" t="s">
        <v>3165</v>
      </c>
      <c r="D239" s="18" t="s">
        <v>44</v>
      </c>
      <c r="E239" s="18" t="s">
        <v>3166</v>
      </c>
      <c r="F239" s="18" t="s">
        <v>15</v>
      </c>
      <c r="G239" s="18" t="s">
        <v>15</v>
      </c>
      <c r="H239" s="18" t="s">
        <v>15</v>
      </c>
      <c r="I239" s="18" t="s">
        <v>3167</v>
      </c>
      <c r="J239" s="18" t="s">
        <v>3196</v>
      </c>
      <c r="K239" s="18" t="s">
        <v>3168</v>
      </c>
      <c r="L239" s="18" t="s">
        <v>3197</v>
      </c>
      <c r="M239" s="18" t="s">
        <v>15</v>
      </c>
      <c r="N239" s="18" t="s">
        <v>15</v>
      </c>
      <c r="O239" s="18" t="s">
        <v>3170</v>
      </c>
      <c r="P239" s="18" t="s">
        <v>15</v>
      </c>
      <c r="Q239" s="18" t="s">
        <v>15</v>
      </c>
      <c r="R239" s="18" t="s">
        <v>3171</v>
      </c>
      <c r="S239" s="18" t="s">
        <v>15</v>
      </c>
    </row>
    <row r="240" spans="1:19" x14ac:dyDescent="0.25">
      <c r="A240" s="17">
        <v>239</v>
      </c>
      <c r="B240" s="18" t="s">
        <v>15</v>
      </c>
      <c r="C240" s="18" t="s">
        <v>3198</v>
      </c>
      <c r="D240" s="18" t="s">
        <v>15</v>
      </c>
      <c r="E240" s="18" t="s">
        <v>15</v>
      </c>
      <c r="F240" s="18" t="s">
        <v>15</v>
      </c>
      <c r="G240" s="18" t="s">
        <v>15</v>
      </c>
      <c r="H240" s="18" t="s">
        <v>15</v>
      </c>
      <c r="I240" s="18" t="s">
        <v>3199</v>
      </c>
      <c r="J240" s="18" t="s">
        <v>2956</v>
      </c>
      <c r="K240" s="18" t="s">
        <v>2837</v>
      </c>
      <c r="L240" s="18" t="s">
        <v>3200</v>
      </c>
      <c r="M240" s="18" t="s">
        <v>15</v>
      </c>
      <c r="N240" s="18" t="s">
        <v>15</v>
      </c>
      <c r="O240" s="18" t="s">
        <v>3201</v>
      </c>
      <c r="P240" s="18" t="s">
        <v>15</v>
      </c>
      <c r="Q240" s="18" t="s">
        <v>15</v>
      </c>
      <c r="R240" s="18" t="s">
        <v>3202</v>
      </c>
      <c r="S240" s="18" t="s">
        <v>15</v>
      </c>
    </row>
    <row r="241" spans="1:19" x14ac:dyDescent="0.25">
      <c r="A241" s="17">
        <v>240</v>
      </c>
      <c r="B241" s="18" t="s">
        <v>15</v>
      </c>
      <c r="C241" s="18" t="s">
        <v>3198</v>
      </c>
      <c r="D241" s="18" t="s">
        <v>15</v>
      </c>
      <c r="E241" s="18" t="s">
        <v>15</v>
      </c>
      <c r="F241" s="18" t="s">
        <v>15</v>
      </c>
      <c r="G241" s="18" t="s">
        <v>15</v>
      </c>
      <c r="H241" s="18" t="s">
        <v>15</v>
      </c>
      <c r="I241" s="18" t="s">
        <v>3199</v>
      </c>
      <c r="J241" s="18" t="s">
        <v>2868</v>
      </c>
      <c r="K241" s="18" t="s">
        <v>2943</v>
      </c>
      <c r="L241" s="18" t="s">
        <v>3203</v>
      </c>
      <c r="M241" s="18" t="s">
        <v>15</v>
      </c>
      <c r="N241" s="18" t="s">
        <v>15</v>
      </c>
      <c r="O241" s="18" t="s">
        <v>3201</v>
      </c>
      <c r="P241" s="18" t="s">
        <v>15</v>
      </c>
      <c r="Q241" s="18" t="s">
        <v>15</v>
      </c>
      <c r="R241" s="18" t="s">
        <v>3202</v>
      </c>
      <c r="S241" s="18" t="s">
        <v>15</v>
      </c>
    </row>
    <row r="242" spans="1:19" x14ac:dyDescent="0.25">
      <c r="A242" s="17">
        <v>241</v>
      </c>
      <c r="B242" s="18" t="s">
        <v>15</v>
      </c>
      <c r="C242" s="18" t="s">
        <v>15</v>
      </c>
      <c r="D242" s="18" t="s">
        <v>15</v>
      </c>
      <c r="E242" s="18" t="s">
        <v>15</v>
      </c>
      <c r="F242" s="18" t="s">
        <v>15</v>
      </c>
      <c r="G242" s="18" t="s">
        <v>2846</v>
      </c>
      <c r="H242" s="18" t="s">
        <v>3204</v>
      </c>
      <c r="I242" s="18" t="s">
        <v>896</v>
      </c>
      <c r="J242" s="18" t="s">
        <v>3205</v>
      </c>
      <c r="K242" s="18" t="s">
        <v>2943</v>
      </c>
      <c r="L242" s="18" t="s">
        <v>3206</v>
      </c>
      <c r="M242" s="18" t="s">
        <v>15</v>
      </c>
      <c r="N242" s="18" t="s">
        <v>15</v>
      </c>
      <c r="O242" s="18" t="s">
        <v>3207</v>
      </c>
      <c r="P242" s="18" t="s">
        <v>15</v>
      </c>
      <c r="Q242" s="18" t="s">
        <v>15</v>
      </c>
      <c r="R242" s="18" t="s">
        <v>3208</v>
      </c>
      <c r="S242" s="18" t="s">
        <v>15</v>
      </c>
    </row>
    <row r="243" spans="1:19" x14ac:dyDescent="0.25">
      <c r="A243" s="17">
        <v>242</v>
      </c>
      <c r="B243" s="18" t="s">
        <v>15</v>
      </c>
      <c r="C243" s="18" t="s">
        <v>15</v>
      </c>
      <c r="D243" s="18" t="s">
        <v>15</v>
      </c>
      <c r="E243" s="18" t="s">
        <v>15</v>
      </c>
      <c r="F243" s="18" t="s">
        <v>15</v>
      </c>
      <c r="G243" s="18" t="s">
        <v>15</v>
      </c>
      <c r="H243" s="18" t="s">
        <v>3209</v>
      </c>
      <c r="I243" s="18" t="s">
        <v>15</v>
      </c>
      <c r="J243" s="18" t="s">
        <v>2868</v>
      </c>
      <c r="K243" s="18" t="s">
        <v>3210</v>
      </c>
      <c r="L243" s="18" t="s">
        <v>3211</v>
      </c>
      <c r="M243" s="18" t="s">
        <v>15</v>
      </c>
      <c r="N243" s="18" t="s">
        <v>15</v>
      </c>
      <c r="O243" s="18" t="s">
        <v>3212</v>
      </c>
      <c r="P243" s="18" t="s">
        <v>15</v>
      </c>
      <c r="Q243" s="18" t="s">
        <v>15</v>
      </c>
      <c r="R243" s="18" t="s">
        <v>3171</v>
      </c>
      <c r="S243" s="18" t="s">
        <v>15</v>
      </c>
    </row>
    <row r="244" spans="1:19" x14ac:dyDescent="0.25">
      <c r="A244" s="17">
        <v>243</v>
      </c>
      <c r="B244" s="18" t="s">
        <v>15</v>
      </c>
      <c r="C244" s="18" t="s">
        <v>15</v>
      </c>
      <c r="D244" s="18" t="s">
        <v>15</v>
      </c>
      <c r="E244" s="18" t="s">
        <v>15</v>
      </c>
      <c r="F244" s="18" t="s">
        <v>15</v>
      </c>
      <c r="G244" s="18" t="s">
        <v>15</v>
      </c>
      <c r="H244" s="18" t="s">
        <v>3213</v>
      </c>
      <c r="I244" s="18" t="s">
        <v>15</v>
      </c>
      <c r="J244" s="18" t="s">
        <v>2889</v>
      </c>
      <c r="K244" s="18" t="s">
        <v>3210</v>
      </c>
      <c r="L244" s="18" t="s">
        <v>3214</v>
      </c>
      <c r="M244" s="18" t="s">
        <v>15</v>
      </c>
      <c r="N244" s="18" t="s">
        <v>15</v>
      </c>
      <c r="O244" s="18" t="s">
        <v>3212</v>
      </c>
      <c r="P244" s="18" t="s">
        <v>15</v>
      </c>
      <c r="Q244" s="18" t="s">
        <v>15</v>
      </c>
      <c r="R244" s="18" t="s">
        <v>3171</v>
      </c>
      <c r="S244" s="18" t="s">
        <v>15</v>
      </c>
    </row>
    <row r="245" spans="1:19" x14ac:dyDescent="0.25">
      <c r="A245" s="17">
        <v>244</v>
      </c>
      <c r="B245" s="18" t="s">
        <v>15</v>
      </c>
      <c r="C245" s="18" t="s">
        <v>15</v>
      </c>
      <c r="D245" s="18" t="s">
        <v>15</v>
      </c>
      <c r="E245" s="18" t="s">
        <v>15</v>
      </c>
      <c r="F245" s="18" t="s">
        <v>15</v>
      </c>
      <c r="G245" s="18" t="s">
        <v>15</v>
      </c>
      <c r="H245" s="18" t="s">
        <v>3215</v>
      </c>
      <c r="I245" s="18" t="s">
        <v>780</v>
      </c>
      <c r="J245" s="18" t="s">
        <v>3216</v>
      </c>
      <c r="K245" s="18" t="s">
        <v>2943</v>
      </c>
      <c r="L245" s="18" t="s">
        <v>3217</v>
      </c>
      <c r="M245" s="18" t="s">
        <v>15</v>
      </c>
      <c r="N245" s="18" t="s">
        <v>15</v>
      </c>
      <c r="O245" s="18" t="s">
        <v>3207</v>
      </c>
      <c r="P245" s="18" t="s">
        <v>15</v>
      </c>
      <c r="Q245" s="18" t="s">
        <v>15</v>
      </c>
      <c r="R245" s="18" t="s">
        <v>3208</v>
      </c>
      <c r="S245" s="18" t="s">
        <v>15</v>
      </c>
    </row>
    <row r="246" spans="1:19" x14ac:dyDescent="0.25">
      <c r="A246" s="17">
        <v>245</v>
      </c>
      <c r="B246" s="18" t="s">
        <v>15</v>
      </c>
      <c r="C246" s="18" t="s">
        <v>15</v>
      </c>
      <c r="D246" s="18" t="s">
        <v>15</v>
      </c>
      <c r="E246" s="18" t="s">
        <v>15</v>
      </c>
      <c r="F246" s="18" t="s">
        <v>15</v>
      </c>
      <c r="G246" s="18" t="s">
        <v>2846</v>
      </c>
      <c r="H246" s="18" t="s">
        <v>3218</v>
      </c>
      <c r="I246" s="18" t="s">
        <v>3219</v>
      </c>
      <c r="J246" s="18" t="s">
        <v>2882</v>
      </c>
      <c r="K246" s="18" t="s">
        <v>15</v>
      </c>
      <c r="L246" s="18" t="s">
        <v>3220</v>
      </c>
      <c r="M246" s="18" t="s">
        <v>15</v>
      </c>
      <c r="N246" s="18" t="s">
        <v>15</v>
      </c>
      <c r="O246" s="18" t="s">
        <v>3221</v>
      </c>
      <c r="P246" s="18" t="s">
        <v>15</v>
      </c>
      <c r="Q246" s="18" t="s">
        <v>15</v>
      </c>
      <c r="R246" s="18" t="s">
        <v>15</v>
      </c>
      <c r="S246" s="18" t="s">
        <v>15</v>
      </c>
    </row>
    <row r="247" spans="1:19" x14ac:dyDescent="0.25">
      <c r="A247" s="17">
        <v>246</v>
      </c>
      <c r="B247" s="18" t="s">
        <v>15</v>
      </c>
      <c r="C247" s="18" t="s">
        <v>15</v>
      </c>
      <c r="D247" s="18" t="s">
        <v>15</v>
      </c>
      <c r="E247" s="18" t="s">
        <v>15</v>
      </c>
      <c r="F247" s="18" t="s">
        <v>15</v>
      </c>
      <c r="G247" s="18" t="s">
        <v>2846</v>
      </c>
      <c r="H247" s="18" t="s">
        <v>3222</v>
      </c>
      <c r="I247" s="18" t="s">
        <v>3219</v>
      </c>
      <c r="J247" s="18" t="s">
        <v>2882</v>
      </c>
      <c r="K247" s="18" t="s">
        <v>15</v>
      </c>
      <c r="L247" s="18" t="s">
        <v>3223</v>
      </c>
      <c r="M247" s="18" t="s">
        <v>15</v>
      </c>
      <c r="N247" s="18" t="s">
        <v>15</v>
      </c>
      <c r="O247" s="18" t="s">
        <v>3221</v>
      </c>
      <c r="P247" s="18" t="s">
        <v>15</v>
      </c>
      <c r="Q247" s="18" t="s">
        <v>15</v>
      </c>
      <c r="R247" s="18" t="s">
        <v>15</v>
      </c>
      <c r="S247" s="18" t="s">
        <v>15</v>
      </c>
    </row>
    <row r="248" spans="1:19" x14ac:dyDescent="0.25">
      <c r="A248" s="17">
        <v>247</v>
      </c>
      <c r="B248" s="18" t="s">
        <v>15</v>
      </c>
      <c r="C248" s="18" t="s">
        <v>15</v>
      </c>
      <c r="D248" s="18" t="s">
        <v>15</v>
      </c>
      <c r="E248" s="18" t="s">
        <v>15</v>
      </c>
      <c r="F248" s="18" t="s">
        <v>15</v>
      </c>
      <c r="G248" s="18" t="s">
        <v>15</v>
      </c>
      <c r="H248" s="18" t="s">
        <v>3224</v>
      </c>
      <c r="I248" s="18" t="s">
        <v>2861</v>
      </c>
      <c r="J248" s="18" t="s">
        <v>2861</v>
      </c>
      <c r="K248" s="18" t="s">
        <v>15</v>
      </c>
      <c r="L248" s="18" t="s">
        <v>3225</v>
      </c>
      <c r="M248" s="18" t="s">
        <v>15</v>
      </c>
      <c r="N248" s="18" t="s">
        <v>15</v>
      </c>
      <c r="O248" s="18" t="s">
        <v>3226</v>
      </c>
      <c r="P248" s="18" t="s">
        <v>15</v>
      </c>
      <c r="Q248" s="18" t="s">
        <v>15</v>
      </c>
      <c r="R248" s="18" t="s">
        <v>15</v>
      </c>
      <c r="S248" s="18" t="s">
        <v>15</v>
      </c>
    </row>
    <row r="249" spans="1:19" x14ac:dyDescent="0.25">
      <c r="A249" s="17">
        <v>248</v>
      </c>
      <c r="B249" s="18" t="s">
        <v>15</v>
      </c>
      <c r="C249" s="18" t="s">
        <v>15</v>
      </c>
      <c r="D249" s="18" t="s">
        <v>15</v>
      </c>
      <c r="E249" s="18" t="s">
        <v>15</v>
      </c>
      <c r="F249" s="18" t="s">
        <v>15</v>
      </c>
      <c r="G249" s="18" t="s">
        <v>3227</v>
      </c>
      <c r="H249" s="18" t="s">
        <v>3228</v>
      </c>
      <c r="I249" s="18" t="s">
        <v>3229</v>
      </c>
      <c r="J249" s="18" t="s">
        <v>3085</v>
      </c>
      <c r="K249" s="18" t="s">
        <v>15</v>
      </c>
      <c r="L249" s="18" t="s">
        <v>3230</v>
      </c>
      <c r="M249" s="18" t="s">
        <v>15</v>
      </c>
      <c r="N249" s="18" t="s">
        <v>15</v>
      </c>
      <c r="O249" s="18" t="s">
        <v>3221</v>
      </c>
      <c r="P249" s="18" t="s">
        <v>15</v>
      </c>
      <c r="Q249" s="18" t="s">
        <v>15</v>
      </c>
      <c r="R249" s="18" t="s">
        <v>15</v>
      </c>
      <c r="S249" s="18" t="s">
        <v>15</v>
      </c>
    </row>
    <row r="250" spans="1:19" x14ac:dyDescent="0.25">
      <c r="A250" s="17">
        <v>249</v>
      </c>
      <c r="B250" s="18" t="s">
        <v>15</v>
      </c>
      <c r="C250" s="18" t="s">
        <v>15</v>
      </c>
      <c r="D250" s="18" t="s">
        <v>15</v>
      </c>
      <c r="E250" s="18" t="s">
        <v>15</v>
      </c>
      <c r="F250" s="18" t="s">
        <v>15</v>
      </c>
      <c r="G250" s="18" t="s">
        <v>15</v>
      </c>
      <c r="H250" s="18" t="s">
        <v>3231</v>
      </c>
      <c r="I250" s="18" t="s">
        <v>3229</v>
      </c>
      <c r="J250" s="18" t="s">
        <v>2903</v>
      </c>
      <c r="K250" s="18" t="s">
        <v>15</v>
      </c>
      <c r="L250" s="18" t="s">
        <v>3232</v>
      </c>
      <c r="M250" s="18" t="s">
        <v>15</v>
      </c>
      <c r="N250" s="18" t="s">
        <v>15</v>
      </c>
      <c r="O250" s="18" t="s">
        <v>3221</v>
      </c>
      <c r="P250" s="18" t="s">
        <v>15</v>
      </c>
      <c r="Q250" s="18" t="s">
        <v>15</v>
      </c>
      <c r="R250" s="18" t="s">
        <v>15</v>
      </c>
      <c r="S250" s="18" t="s">
        <v>15</v>
      </c>
    </row>
    <row r="251" spans="1:19" x14ac:dyDescent="0.25">
      <c r="A251" s="17">
        <v>250</v>
      </c>
      <c r="B251" s="18" t="s">
        <v>15</v>
      </c>
      <c r="C251" s="18" t="s">
        <v>15</v>
      </c>
      <c r="D251" s="18" t="s">
        <v>15</v>
      </c>
      <c r="E251" s="18" t="s">
        <v>15</v>
      </c>
      <c r="F251" s="18" t="s">
        <v>15</v>
      </c>
      <c r="G251" s="18" t="s">
        <v>15</v>
      </c>
      <c r="H251" s="18" t="s">
        <v>3233</v>
      </c>
      <c r="I251" s="18" t="s">
        <v>3229</v>
      </c>
      <c r="J251" s="18" t="s">
        <v>3002</v>
      </c>
      <c r="K251" s="18" t="s">
        <v>15</v>
      </c>
      <c r="L251" s="18" t="s">
        <v>3234</v>
      </c>
      <c r="M251" s="18" t="s">
        <v>15</v>
      </c>
      <c r="N251" s="18" t="s">
        <v>15</v>
      </c>
      <c r="O251" s="18" t="s">
        <v>3221</v>
      </c>
      <c r="P251" s="18" t="s">
        <v>15</v>
      </c>
      <c r="Q251" s="18" t="s">
        <v>15</v>
      </c>
      <c r="R251" s="18" t="s">
        <v>15</v>
      </c>
      <c r="S251" s="18" t="s">
        <v>15</v>
      </c>
    </row>
    <row r="252" spans="1:19" x14ac:dyDescent="0.25">
      <c r="A252" s="17">
        <v>251</v>
      </c>
      <c r="B252" s="18" t="s">
        <v>15</v>
      </c>
      <c r="C252" s="18" t="s">
        <v>15</v>
      </c>
      <c r="D252" s="18" t="s">
        <v>15</v>
      </c>
      <c r="E252" s="18" t="s">
        <v>15</v>
      </c>
      <c r="F252" s="18" t="s">
        <v>15</v>
      </c>
      <c r="G252" s="18" t="s">
        <v>15</v>
      </c>
      <c r="H252" s="18" t="s">
        <v>3235</v>
      </c>
      <c r="I252" s="18" t="s">
        <v>3229</v>
      </c>
      <c r="J252" s="18" t="s">
        <v>2889</v>
      </c>
      <c r="K252" s="18" t="s">
        <v>15</v>
      </c>
      <c r="L252" s="18" t="s">
        <v>3236</v>
      </c>
      <c r="M252" s="18" t="s">
        <v>15</v>
      </c>
      <c r="N252" s="18" t="s">
        <v>15</v>
      </c>
      <c r="O252" s="18" t="s">
        <v>3221</v>
      </c>
      <c r="P252" s="18" t="s">
        <v>15</v>
      </c>
      <c r="Q252" s="18" t="s">
        <v>15</v>
      </c>
      <c r="R252" s="18" t="s">
        <v>15</v>
      </c>
      <c r="S252" s="18" t="s">
        <v>15</v>
      </c>
    </row>
    <row r="253" spans="1:19" x14ac:dyDescent="0.25">
      <c r="A253" s="17">
        <v>252</v>
      </c>
      <c r="B253" s="18" t="s">
        <v>3237</v>
      </c>
      <c r="C253" s="18" t="s">
        <v>3198</v>
      </c>
      <c r="D253" s="18" t="s">
        <v>44</v>
      </c>
      <c r="E253" s="18" t="s">
        <v>15</v>
      </c>
      <c r="F253" s="18" t="s">
        <v>15</v>
      </c>
      <c r="G253" s="18" t="s">
        <v>3238</v>
      </c>
      <c r="H253" s="18" t="s">
        <v>3239</v>
      </c>
      <c r="I253" s="18" t="s">
        <v>15</v>
      </c>
      <c r="J253" s="18" t="s">
        <v>3240</v>
      </c>
      <c r="K253" s="18" t="s">
        <v>2943</v>
      </c>
      <c r="L253" s="18" t="s">
        <v>3241</v>
      </c>
      <c r="M253" s="18" t="s">
        <v>15</v>
      </c>
      <c r="N253" s="18" t="s">
        <v>15</v>
      </c>
      <c r="O253" s="18" t="s">
        <v>15</v>
      </c>
      <c r="P253" s="18" t="s">
        <v>15</v>
      </c>
      <c r="Q253" s="18" t="s">
        <v>15</v>
      </c>
      <c r="R253" s="18" t="s">
        <v>3242</v>
      </c>
      <c r="S253" s="18" t="s">
        <v>15</v>
      </c>
    </row>
    <row r="254" spans="1:19" x14ac:dyDescent="0.25">
      <c r="A254" s="17">
        <v>253</v>
      </c>
      <c r="B254" s="18" t="s">
        <v>3243</v>
      </c>
      <c r="C254" s="18" t="s">
        <v>3198</v>
      </c>
      <c r="D254" s="18" t="s">
        <v>44</v>
      </c>
      <c r="E254" s="18" t="s">
        <v>15</v>
      </c>
      <c r="F254" s="18" t="s">
        <v>15</v>
      </c>
      <c r="G254" s="18" t="s">
        <v>3244</v>
      </c>
      <c r="H254" s="18" t="s">
        <v>3245</v>
      </c>
      <c r="I254" s="18" t="s">
        <v>15</v>
      </c>
      <c r="J254" s="18" t="s">
        <v>3043</v>
      </c>
      <c r="K254" s="18" t="s">
        <v>2837</v>
      </c>
      <c r="L254" s="18" t="s">
        <v>3246</v>
      </c>
      <c r="M254" s="18" t="s">
        <v>15</v>
      </c>
      <c r="N254" s="18" t="s">
        <v>15</v>
      </c>
      <c r="O254" s="18" t="s">
        <v>15</v>
      </c>
      <c r="P254" s="18" t="s">
        <v>15</v>
      </c>
      <c r="Q254" s="18" t="s">
        <v>15</v>
      </c>
      <c r="R254" s="18" t="s">
        <v>3247</v>
      </c>
      <c r="S254" s="18" t="s">
        <v>15</v>
      </c>
    </row>
    <row r="255" spans="1:19" x14ac:dyDescent="0.25">
      <c r="A255" s="17">
        <v>254</v>
      </c>
      <c r="B255" s="18" t="s">
        <v>3248</v>
      </c>
      <c r="C255" s="18" t="s">
        <v>3198</v>
      </c>
      <c r="D255" s="18" t="s">
        <v>44</v>
      </c>
      <c r="E255" s="18" t="s">
        <v>15</v>
      </c>
      <c r="F255" s="18" t="s">
        <v>15</v>
      </c>
      <c r="G255" s="18" t="s">
        <v>3249</v>
      </c>
      <c r="H255" s="18" t="s">
        <v>3250</v>
      </c>
      <c r="I255" s="18" t="s">
        <v>15</v>
      </c>
      <c r="J255" s="18" t="s">
        <v>3251</v>
      </c>
      <c r="K255" s="18" t="s">
        <v>2837</v>
      </c>
      <c r="L255" s="18" t="s">
        <v>3252</v>
      </c>
      <c r="M255" s="18" t="s">
        <v>15</v>
      </c>
      <c r="N255" s="18" t="s">
        <v>15</v>
      </c>
      <c r="O255" s="18" t="s">
        <v>15</v>
      </c>
      <c r="P255" s="18" t="s">
        <v>15</v>
      </c>
      <c r="Q255" s="18" t="s">
        <v>15</v>
      </c>
      <c r="R255" s="18" t="s">
        <v>3253</v>
      </c>
      <c r="S255" s="18" t="s">
        <v>15</v>
      </c>
    </row>
    <row r="256" spans="1:19" x14ac:dyDescent="0.25">
      <c r="A256" s="17">
        <v>255</v>
      </c>
      <c r="B256" s="18" t="s">
        <v>3254</v>
      </c>
      <c r="C256" s="18" t="s">
        <v>3198</v>
      </c>
      <c r="D256" s="18" t="s">
        <v>44</v>
      </c>
      <c r="E256" s="18" t="s">
        <v>15</v>
      </c>
      <c r="F256" s="18" t="s">
        <v>15</v>
      </c>
      <c r="G256" s="18" t="s">
        <v>176</v>
      </c>
      <c r="H256" s="18" t="s">
        <v>15</v>
      </c>
      <c r="I256" s="18" t="s">
        <v>15</v>
      </c>
      <c r="J256" s="18" t="s">
        <v>3255</v>
      </c>
      <c r="K256" s="18" t="s">
        <v>3256</v>
      </c>
      <c r="L256" s="18" t="s">
        <v>3257</v>
      </c>
      <c r="M256" s="18" t="s">
        <v>15</v>
      </c>
      <c r="N256" s="18" t="s">
        <v>15</v>
      </c>
      <c r="O256" s="18" t="s">
        <v>15</v>
      </c>
      <c r="P256" s="18" t="s">
        <v>15</v>
      </c>
      <c r="Q256" s="18" t="s">
        <v>15</v>
      </c>
      <c r="R256" s="18" t="s">
        <v>3253</v>
      </c>
      <c r="S256" s="18" t="s">
        <v>15</v>
      </c>
    </row>
    <row r="257" spans="1:19" x14ac:dyDescent="0.25">
      <c r="A257" s="17">
        <v>256</v>
      </c>
      <c r="B257" s="18" t="s">
        <v>3258</v>
      </c>
      <c r="C257" s="18" t="s">
        <v>3198</v>
      </c>
      <c r="D257" s="18" t="s">
        <v>44</v>
      </c>
      <c r="E257" s="18" t="s">
        <v>15</v>
      </c>
      <c r="F257" s="18" t="s">
        <v>15</v>
      </c>
      <c r="G257" s="18" t="s">
        <v>176</v>
      </c>
      <c r="H257" s="18" t="s">
        <v>15</v>
      </c>
      <c r="I257" s="18" t="s">
        <v>15</v>
      </c>
      <c r="J257" s="18" t="s">
        <v>3036</v>
      </c>
      <c r="K257" s="18" t="s">
        <v>2837</v>
      </c>
      <c r="L257" s="18" t="s">
        <v>3259</v>
      </c>
      <c r="M257" s="18" t="s">
        <v>15</v>
      </c>
      <c r="N257" s="18" t="s">
        <v>15</v>
      </c>
      <c r="O257" s="18" t="s">
        <v>15</v>
      </c>
      <c r="P257" s="18" t="s">
        <v>15</v>
      </c>
      <c r="Q257" s="18" t="s">
        <v>15</v>
      </c>
      <c r="R257" s="18" t="s">
        <v>3202</v>
      </c>
      <c r="S257" s="18" t="s">
        <v>15</v>
      </c>
    </row>
    <row r="258" spans="1:19" x14ac:dyDescent="0.25">
      <c r="A258" s="17">
        <v>257</v>
      </c>
      <c r="B258" s="18" t="s">
        <v>3260</v>
      </c>
      <c r="C258" s="18" t="s">
        <v>3198</v>
      </c>
      <c r="D258" s="18" t="s">
        <v>44</v>
      </c>
      <c r="E258" s="18" t="s">
        <v>15</v>
      </c>
      <c r="F258" s="18" t="s">
        <v>15</v>
      </c>
      <c r="G258" s="18" t="s">
        <v>176</v>
      </c>
      <c r="H258" s="18" t="s">
        <v>15</v>
      </c>
      <c r="I258" s="18" t="s">
        <v>15</v>
      </c>
      <c r="J258" s="18" t="s">
        <v>3196</v>
      </c>
      <c r="K258" s="18" t="s">
        <v>3256</v>
      </c>
      <c r="L258" s="18" t="s">
        <v>3261</v>
      </c>
      <c r="M258" s="18" t="s">
        <v>15</v>
      </c>
      <c r="N258" s="18" t="s">
        <v>15</v>
      </c>
      <c r="O258" s="18" t="s">
        <v>15</v>
      </c>
      <c r="P258" s="18" t="s">
        <v>15</v>
      </c>
      <c r="Q258" s="18" t="s">
        <v>15</v>
      </c>
      <c r="R258" s="18" t="s">
        <v>3202</v>
      </c>
      <c r="S258" s="18" t="s">
        <v>15</v>
      </c>
    </row>
    <row r="259" spans="1:19" x14ac:dyDescent="0.25">
      <c r="A259" s="17">
        <v>258</v>
      </c>
      <c r="B259" s="18" t="s">
        <v>3262</v>
      </c>
      <c r="C259" s="18" t="s">
        <v>3263</v>
      </c>
      <c r="D259" s="18" t="s">
        <v>44</v>
      </c>
      <c r="E259" s="18" t="s">
        <v>3166</v>
      </c>
      <c r="F259" s="18" t="s">
        <v>15</v>
      </c>
      <c r="G259" s="18" t="s">
        <v>3264</v>
      </c>
      <c r="H259" s="18" t="s">
        <v>15</v>
      </c>
      <c r="I259" s="18" t="s">
        <v>3167</v>
      </c>
      <c r="J259" s="18" t="s">
        <v>3036</v>
      </c>
      <c r="K259" s="18" t="s">
        <v>2837</v>
      </c>
      <c r="L259" s="18" t="s">
        <v>3265</v>
      </c>
      <c r="M259" s="18" t="s">
        <v>15</v>
      </c>
      <c r="N259" s="18" t="s">
        <v>15</v>
      </c>
      <c r="O259" s="18" t="s">
        <v>3266</v>
      </c>
      <c r="P259" s="18" t="s">
        <v>61</v>
      </c>
      <c r="Q259" s="18" t="s">
        <v>15</v>
      </c>
      <c r="R259" s="18" t="s">
        <v>3171</v>
      </c>
      <c r="S259" s="18" t="s">
        <v>15</v>
      </c>
    </row>
    <row r="260" spans="1:19" x14ac:dyDescent="0.25">
      <c r="A260" s="17">
        <v>259</v>
      </c>
      <c r="B260" s="18" t="s">
        <v>3267</v>
      </c>
      <c r="C260" s="18" t="s">
        <v>3263</v>
      </c>
      <c r="D260" s="18" t="s">
        <v>44</v>
      </c>
      <c r="E260" s="18" t="s">
        <v>3166</v>
      </c>
      <c r="F260" s="18" t="s">
        <v>15</v>
      </c>
      <c r="G260" s="18" t="s">
        <v>3264</v>
      </c>
      <c r="H260" s="18" t="s">
        <v>15</v>
      </c>
      <c r="I260" s="18" t="s">
        <v>3167</v>
      </c>
      <c r="J260" s="18" t="s">
        <v>2868</v>
      </c>
      <c r="K260" s="18" t="s">
        <v>2837</v>
      </c>
      <c r="L260" s="18" t="s">
        <v>3268</v>
      </c>
      <c r="M260" s="18" t="s">
        <v>15</v>
      </c>
      <c r="N260" s="18" t="s">
        <v>15</v>
      </c>
      <c r="O260" s="18" t="s">
        <v>3266</v>
      </c>
      <c r="P260" s="18" t="s">
        <v>61</v>
      </c>
      <c r="Q260" s="18" t="s">
        <v>15</v>
      </c>
      <c r="R260" s="18" t="s">
        <v>3171</v>
      </c>
      <c r="S260" s="18" t="s">
        <v>15</v>
      </c>
    </row>
    <row r="261" spans="1:19" x14ac:dyDescent="0.25">
      <c r="A261" s="17">
        <v>260</v>
      </c>
      <c r="B261" s="18" t="s">
        <v>3269</v>
      </c>
      <c r="C261" s="18" t="s">
        <v>3263</v>
      </c>
      <c r="D261" s="18" t="s">
        <v>44</v>
      </c>
      <c r="E261" s="18" t="s">
        <v>3166</v>
      </c>
      <c r="F261" s="18" t="s">
        <v>15</v>
      </c>
      <c r="G261" s="18" t="s">
        <v>3264</v>
      </c>
      <c r="H261" s="18" t="s">
        <v>15</v>
      </c>
      <c r="I261" s="18" t="s">
        <v>3167</v>
      </c>
      <c r="J261" s="18" t="s">
        <v>2910</v>
      </c>
      <c r="K261" s="18" t="s">
        <v>2837</v>
      </c>
      <c r="L261" s="18" t="s">
        <v>3270</v>
      </c>
      <c r="M261" s="18" t="s">
        <v>15</v>
      </c>
      <c r="N261" s="18" t="s">
        <v>15</v>
      </c>
      <c r="O261" s="18" t="s">
        <v>3266</v>
      </c>
      <c r="P261" s="18" t="s">
        <v>61</v>
      </c>
      <c r="Q261" s="18" t="s">
        <v>15</v>
      </c>
      <c r="R261" s="18" t="s">
        <v>3171</v>
      </c>
      <c r="S261" s="18" t="s">
        <v>15</v>
      </c>
    </row>
    <row r="262" spans="1:19" x14ac:dyDescent="0.25">
      <c r="A262" s="17">
        <v>261</v>
      </c>
      <c r="B262" s="18" t="s">
        <v>3271</v>
      </c>
      <c r="C262" s="18" t="s">
        <v>3263</v>
      </c>
      <c r="D262" s="18" t="s">
        <v>44</v>
      </c>
      <c r="E262" s="18" t="s">
        <v>3166</v>
      </c>
      <c r="F262" s="18" t="s">
        <v>15</v>
      </c>
      <c r="G262" s="18" t="s">
        <v>3264</v>
      </c>
      <c r="H262" s="18" t="s">
        <v>15</v>
      </c>
      <c r="I262" s="18" t="s">
        <v>3167</v>
      </c>
      <c r="J262" s="18" t="s">
        <v>3091</v>
      </c>
      <c r="K262" s="18" t="s">
        <v>2837</v>
      </c>
      <c r="L262" s="18" t="s">
        <v>3272</v>
      </c>
      <c r="M262" s="18" t="s">
        <v>15</v>
      </c>
      <c r="N262" s="18" t="s">
        <v>15</v>
      </c>
      <c r="O262" s="18" t="s">
        <v>3266</v>
      </c>
      <c r="P262" s="18" t="s">
        <v>61</v>
      </c>
      <c r="Q262" s="18" t="s">
        <v>15</v>
      </c>
      <c r="R262" s="18" t="s">
        <v>3171</v>
      </c>
      <c r="S262" s="18" t="s">
        <v>15</v>
      </c>
    </row>
    <row r="263" spans="1:19" x14ac:dyDescent="0.25">
      <c r="A263" s="17">
        <v>262</v>
      </c>
      <c r="B263" s="18" t="s">
        <v>3273</v>
      </c>
      <c r="C263" s="18" t="s">
        <v>3263</v>
      </c>
      <c r="D263" s="18" t="s">
        <v>44</v>
      </c>
      <c r="E263" s="18" t="s">
        <v>3166</v>
      </c>
      <c r="F263" s="18" t="s">
        <v>15</v>
      </c>
      <c r="G263" s="18" t="s">
        <v>3264</v>
      </c>
      <c r="H263" s="18" t="s">
        <v>15</v>
      </c>
      <c r="I263" s="18" t="s">
        <v>3167</v>
      </c>
      <c r="J263" s="18" t="s">
        <v>2961</v>
      </c>
      <c r="K263" s="18" t="s">
        <v>2837</v>
      </c>
      <c r="L263" s="18" t="s">
        <v>3274</v>
      </c>
      <c r="M263" s="18" t="s">
        <v>15</v>
      </c>
      <c r="N263" s="18" t="s">
        <v>15</v>
      </c>
      <c r="O263" s="18" t="s">
        <v>3266</v>
      </c>
      <c r="P263" s="18" t="s">
        <v>61</v>
      </c>
      <c r="Q263" s="18" t="s">
        <v>15</v>
      </c>
      <c r="R263" s="18" t="s">
        <v>3171</v>
      </c>
      <c r="S263" s="18" t="s">
        <v>15</v>
      </c>
    </row>
    <row r="264" spans="1:19" x14ac:dyDescent="0.25">
      <c r="A264" s="17">
        <v>263</v>
      </c>
      <c r="B264" s="18" t="s">
        <v>3275</v>
      </c>
      <c r="C264" s="18" t="s">
        <v>3263</v>
      </c>
      <c r="D264" s="18" t="s">
        <v>44</v>
      </c>
      <c r="E264" s="18" t="s">
        <v>3166</v>
      </c>
      <c r="F264" s="18" t="s">
        <v>15</v>
      </c>
      <c r="G264" s="18" t="s">
        <v>3264</v>
      </c>
      <c r="H264" s="18" t="s">
        <v>15</v>
      </c>
      <c r="I264" s="18" t="s">
        <v>3167</v>
      </c>
      <c r="J264" s="18" t="s">
        <v>2950</v>
      </c>
      <c r="K264" s="18" t="s">
        <v>2837</v>
      </c>
      <c r="L264" s="18" t="s">
        <v>3276</v>
      </c>
      <c r="M264" s="18" t="s">
        <v>15</v>
      </c>
      <c r="N264" s="18" t="s">
        <v>15</v>
      </c>
      <c r="O264" s="18" t="s">
        <v>3266</v>
      </c>
      <c r="P264" s="18" t="s">
        <v>61</v>
      </c>
      <c r="Q264" s="18" t="s">
        <v>15</v>
      </c>
      <c r="R264" s="18" t="s">
        <v>3171</v>
      </c>
      <c r="S264" s="18" t="s">
        <v>15</v>
      </c>
    </row>
    <row r="265" spans="1:19" x14ac:dyDescent="0.25">
      <c r="A265" s="17">
        <v>264</v>
      </c>
      <c r="B265" s="18" t="s">
        <v>3277</v>
      </c>
      <c r="C265" s="18" t="s">
        <v>3263</v>
      </c>
      <c r="D265" s="18" t="s">
        <v>44</v>
      </c>
      <c r="E265" s="18" t="s">
        <v>3166</v>
      </c>
      <c r="F265" s="18" t="s">
        <v>15</v>
      </c>
      <c r="G265" s="18" t="s">
        <v>3264</v>
      </c>
      <c r="H265" s="18" t="s">
        <v>15</v>
      </c>
      <c r="I265" s="18" t="s">
        <v>3167</v>
      </c>
      <c r="J265" s="18" t="s">
        <v>3073</v>
      </c>
      <c r="K265" s="18" t="s">
        <v>2837</v>
      </c>
      <c r="L265" s="18" t="s">
        <v>3278</v>
      </c>
      <c r="M265" s="18" t="s">
        <v>15</v>
      </c>
      <c r="N265" s="18" t="s">
        <v>15</v>
      </c>
      <c r="O265" s="18" t="s">
        <v>3266</v>
      </c>
      <c r="P265" s="18" t="s">
        <v>61</v>
      </c>
      <c r="Q265" s="18" t="s">
        <v>15</v>
      </c>
      <c r="R265" s="18" t="s">
        <v>3171</v>
      </c>
      <c r="S265" s="18" t="s">
        <v>15</v>
      </c>
    </row>
    <row r="266" spans="1:19" x14ac:dyDescent="0.25">
      <c r="A266" s="17">
        <v>265</v>
      </c>
      <c r="B266" s="18" t="s">
        <v>3279</v>
      </c>
      <c r="C266" s="18" t="s">
        <v>3263</v>
      </c>
      <c r="D266" s="18" t="s">
        <v>44</v>
      </c>
      <c r="E266" s="18" t="s">
        <v>3166</v>
      </c>
      <c r="F266" s="18" t="s">
        <v>15</v>
      </c>
      <c r="G266" s="18" t="s">
        <v>3264</v>
      </c>
      <c r="H266" s="18" t="s">
        <v>15</v>
      </c>
      <c r="I266" s="18" t="s">
        <v>3167</v>
      </c>
      <c r="J266" s="18" t="s">
        <v>2969</v>
      </c>
      <c r="K266" s="18" t="s">
        <v>2837</v>
      </c>
      <c r="L266" s="18" t="s">
        <v>3280</v>
      </c>
      <c r="M266" s="18" t="s">
        <v>15</v>
      </c>
      <c r="N266" s="18" t="s">
        <v>15</v>
      </c>
      <c r="O266" s="18" t="s">
        <v>3266</v>
      </c>
      <c r="P266" s="18" t="s">
        <v>61</v>
      </c>
      <c r="Q266" s="18" t="s">
        <v>15</v>
      </c>
      <c r="R266" s="18" t="s">
        <v>3171</v>
      </c>
      <c r="S266" s="18" t="s">
        <v>15</v>
      </c>
    </row>
    <row r="267" spans="1:19" x14ac:dyDescent="0.25">
      <c r="A267" s="17">
        <v>266</v>
      </c>
      <c r="B267" s="18" t="s">
        <v>3281</v>
      </c>
      <c r="C267" s="18" t="s">
        <v>3263</v>
      </c>
      <c r="D267" s="18" t="s">
        <v>44</v>
      </c>
      <c r="E267" s="18" t="s">
        <v>3166</v>
      </c>
      <c r="F267" s="18" t="s">
        <v>15</v>
      </c>
      <c r="G267" s="18" t="s">
        <v>3264</v>
      </c>
      <c r="H267" s="18" t="s">
        <v>15</v>
      </c>
      <c r="I267" s="18" t="s">
        <v>3167</v>
      </c>
      <c r="J267" s="18" t="s">
        <v>2889</v>
      </c>
      <c r="K267" s="18" t="s">
        <v>2837</v>
      </c>
      <c r="L267" s="18" t="s">
        <v>3282</v>
      </c>
      <c r="M267" s="18" t="s">
        <v>15</v>
      </c>
      <c r="N267" s="18" t="s">
        <v>15</v>
      </c>
      <c r="O267" s="18" t="s">
        <v>3266</v>
      </c>
      <c r="P267" s="18" t="s">
        <v>61</v>
      </c>
      <c r="Q267" s="18" t="s">
        <v>15</v>
      </c>
      <c r="R267" s="18" t="s">
        <v>3171</v>
      </c>
      <c r="S267" s="18" t="s">
        <v>15</v>
      </c>
    </row>
    <row r="268" spans="1:19" x14ac:dyDescent="0.25">
      <c r="A268" s="17">
        <v>267</v>
      </c>
      <c r="B268" s="18" t="s">
        <v>3283</v>
      </c>
      <c r="C268" s="18" t="s">
        <v>3263</v>
      </c>
      <c r="D268" s="18" t="s">
        <v>44</v>
      </c>
      <c r="E268" s="18" t="s">
        <v>3166</v>
      </c>
      <c r="F268" s="18" t="s">
        <v>15</v>
      </c>
      <c r="G268" s="18" t="s">
        <v>3264</v>
      </c>
      <c r="H268" s="18" t="s">
        <v>15</v>
      </c>
      <c r="I268" s="18" t="s">
        <v>3167</v>
      </c>
      <c r="J268" s="18" t="s">
        <v>2932</v>
      </c>
      <c r="K268" s="18" t="s">
        <v>2837</v>
      </c>
      <c r="L268" s="18" t="s">
        <v>3284</v>
      </c>
      <c r="M268" s="18" t="s">
        <v>15</v>
      </c>
      <c r="N268" s="18" t="s">
        <v>15</v>
      </c>
      <c r="O268" s="18" t="s">
        <v>3266</v>
      </c>
      <c r="P268" s="18" t="s">
        <v>61</v>
      </c>
      <c r="Q268" s="18" t="s">
        <v>15</v>
      </c>
      <c r="R268" s="18" t="s">
        <v>3171</v>
      </c>
      <c r="S268" s="18" t="s">
        <v>15</v>
      </c>
    </row>
    <row r="269" spans="1:19" x14ac:dyDescent="0.25">
      <c r="A269" s="17">
        <v>268</v>
      </c>
      <c r="B269" s="18" t="s">
        <v>3285</v>
      </c>
      <c r="C269" s="18" t="s">
        <v>3263</v>
      </c>
      <c r="D269" s="18" t="s">
        <v>44</v>
      </c>
      <c r="E269" s="18" t="s">
        <v>3166</v>
      </c>
      <c r="F269" s="18" t="s">
        <v>15</v>
      </c>
      <c r="G269" s="18" t="s">
        <v>3264</v>
      </c>
      <c r="H269" s="18" t="s">
        <v>15</v>
      </c>
      <c r="I269" s="18" t="s">
        <v>3167</v>
      </c>
      <c r="J269" s="18" t="s">
        <v>3103</v>
      </c>
      <c r="K269" s="18" t="s">
        <v>2837</v>
      </c>
      <c r="L269" s="18" t="s">
        <v>3286</v>
      </c>
      <c r="M269" s="18" t="s">
        <v>15</v>
      </c>
      <c r="N269" s="18" t="s">
        <v>15</v>
      </c>
      <c r="O269" s="18" t="s">
        <v>3266</v>
      </c>
      <c r="P269" s="18" t="s">
        <v>61</v>
      </c>
      <c r="Q269" s="18" t="s">
        <v>15</v>
      </c>
      <c r="R269" s="18" t="s">
        <v>3171</v>
      </c>
      <c r="S269" s="18" t="s">
        <v>15</v>
      </c>
    </row>
    <row r="270" spans="1:19" x14ac:dyDescent="0.25">
      <c r="A270" s="17">
        <v>269</v>
      </c>
      <c r="B270" s="18" t="s">
        <v>3287</v>
      </c>
      <c r="C270" s="18" t="s">
        <v>3263</v>
      </c>
      <c r="D270" s="18" t="s">
        <v>44</v>
      </c>
      <c r="E270" s="18" t="s">
        <v>3166</v>
      </c>
      <c r="F270" s="18" t="s">
        <v>15</v>
      </c>
      <c r="G270" s="18" t="s">
        <v>3264</v>
      </c>
      <c r="H270" s="18" t="s">
        <v>15</v>
      </c>
      <c r="I270" s="18" t="s">
        <v>3167</v>
      </c>
      <c r="J270" s="18" t="s">
        <v>3085</v>
      </c>
      <c r="K270" s="18" t="s">
        <v>2837</v>
      </c>
      <c r="L270" s="18" t="s">
        <v>3288</v>
      </c>
      <c r="M270" s="18" t="s">
        <v>15</v>
      </c>
      <c r="N270" s="18" t="s">
        <v>15</v>
      </c>
      <c r="O270" s="18" t="s">
        <v>3266</v>
      </c>
      <c r="P270" s="18" t="s">
        <v>61</v>
      </c>
      <c r="Q270" s="18" t="s">
        <v>15</v>
      </c>
      <c r="R270" s="18" t="s">
        <v>3171</v>
      </c>
      <c r="S270" s="18" t="s">
        <v>15</v>
      </c>
    </row>
    <row r="271" spans="1:19" x14ac:dyDescent="0.25">
      <c r="A271" s="17">
        <v>270</v>
      </c>
      <c r="B271" s="18" t="s">
        <v>3289</v>
      </c>
      <c r="C271" s="18" t="s">
        <v>3263</v>
      </c>
      <c r="D271" s="18" t="s">
        <v>44</v>
      </c>
      <c r="E271" s="18" t="s">
        <v>3166</v>
      </c>
      <c r="F271" s="18" t="s">
        <v>15</v>
      </c>
      <c r="G271" s="18" t="s">
        <v>3264</v>
      </c>
      <c r="H271" s="18" t="s">
        <v>15</v>
      </c>
      <c r="I271" s="18" t="s">
        <v>3167</v>
      </c>
      <c r="J271" s="18" t="s">
        <v>2942</v>
      </c>
      <c r="K271" s="18" t="s">
        <v>2837</v>
      </c>
      <c r="L271" s="18" t="s">
        <v>3290</v>
      </c>
      <c r="M271" s="18" t="s">
        <v>15</v>
      </c>
      <c r="N271" s="18" t="s">
        <v>15</v>
      </c>
      <c r="O271" s="18" t="s">
        <v>3266</v>
      </c>
      <c r="P271" s="18" t="s">
        <v>61</v>
      </c>
      <c r="Q271" s="18" t="s">
        <v>15</v>
      </c>
      <c r="R271" s="18" t="s">
        <v>3171</v>
      </c>
      <c r="S271" s="18" t="s">
        <v>15</v>
      </c>
    </row>
    <row r="272" spans="1:19" x14ac:dyDescent="0.25">
      <c r="A272" s="17">
        <v>271</v>
      </c>
      <c r="B272" s="18" t="s">
        <v>3291</v>
      </c>
      <c r="C272" s="18" t="s">
        <v>3263</v>
      </c>
      <c r="D272" s="18" t="s">
        <v>44</v>
      </c>
      <c r="E272" s="18" t="s">
        <v>3166</v>
      </c>
      <c r="F272" s="18" t="s">
        <v>15</v>
      </c>
      <c r="G272" s="18" t="s">
        <v>3264</v>
      </c>
      <c r="H272" s="18" t="s">
        <v>15</v>
      </c>
      <c r="I272" s="18" t="s">
        <v>3167</v>
      </c>
      <c r="J272" s="18" t="s">
        <v>3132</v>
      </c>
      <c r="K272" s="18" t="s">
        <v>2837</v>
      </c>
      <c r="L272" s="18" t="s">
        <v>3292</v>
      </c>
      <c r="M272" s="18" t="s">
        <v>15</v>
      </c>
      <c r="N272" s="18" t="s">
        <v>15</v>
      </c>
      <c r="O272" s="18" t="s">
        <v>3266</v>
      </c>
      <c r="P272" s="18" t="s">
        <v>61</v>
      </c>
      <c r="Q272" s="18" t="s">
        <v>15</v>
      </c>
      <c r="R272" s="18" t="s">
        <v>3171</v>
      </c>
      <c r="S272" s="18" t="s">
        <v>15</v>
      </c>
    </row>
    <row r="273" spans="1:19" x14ac:dyDescent="0.25">
      <c r="A273" s="17">
        <v>272</v>
      </c>
      <c r="B273" s="18" t="s">
        <v>3293</v>
      </c>
      <c r="C273" s="18" t="s">
        <v>3263</v>
      </c>
      <c r="D273" s="18" t="s">
        <v>44</v>
      </c>
      <c r="E273" s="18" t="s">
        <v>3166</v>
      </c>
      <c r="F273" s="18" t="s">
        <v>15</v>
      </c>
      <c r="G273" s="18" t="s">
        <v>3264</v>
      </c>
      <c r="H273" s="18" t="s">
        <v>15</v>
      </c>
      <c r="I273" s="18" t="s">
        <v>3167</v>
      </c>
      <c r="J273" s="18" t="s">
        <v>2972</v>
      </c>
      <c r="K273" s="18" t="s">
        <v>2837</v>
      </c>
      <c r="L273" s="18" t="s">
        <v>3294</v>
      </c>
      <c r="M273" s="18" t="s">
        <v>15</v>
      </c>
      <c r="N273" s="18" t="s">
        <v>15</v>
      </c>
      <c r="O273" s="18" t="s">
        <v>3266</v>
      </c>
      <c r="P273" s="18" t="s">
        <v>61</v>
      </c>
      <c r="Q273" s="18" t="s">
        <v>15</v>
      </c>
      <c r="R273" s="18" t="s">
        <v>3171</v>
      </c>
      <c r="S273" s="18" t="s">
        <v>15</v>
      </c>
    </row>
    <row r="274" spans="1:19" x14ac:dyDescent="0.25">
      <c r="A274" s="17">
        <v>273</v>
      </c>
      <c r="B274" s="18" t="s">
        <v>3295</v>
      </c>
      <c r="C274" s="18" t="s">
        <v>3263</v>
      </c>
      <c r="D274" s="18" t="s">
        <v>44</v>
      </c>
      <c r="E274" s="18" t="s">
        <v>3166</v>
      </c>
      <c r="F274" s="18" t="s">
        <v>15</v>
      </c>
      <c r="G274" s="18" t="s">
        <v>3264</v>
      </c>
      <c r="H274" s="18" t="s">
        <v>15</v>
      </c>
      <c r="I274" s="18" t="s">
        <v>3167</v>
      </c>
      <c r="J274" s="18" t="s">
        <v>3012</v>
      </c>
      <c r="K274" s="18" t="s">
        <v>2837</v>
      </c>
      <c r="L274" s="18" t="s">
        <v>3296</v>
      </c>
      <c r="M274" s="18" t="s">
        <v>15</v>
      </c>
      <c r="N274" s="18" t="s">
        <v>15</v>
      </c>
      <c r="O274" s="18" t="s">
        <v>3266</v>
      </c>
      <c r="P274" s="18" t="s">
        <v>61</v>
      </c>
      <c r="Q274" s="18" t="s">
        <v>15</v>
      </c>
      <c r="R274" s="18" t="s">
        <v>3171</v>
      </c>
      <c r="S274" s="18" t="s">
        <v>15</v>
      </c>
    </row>
    <row r="275" spans="1:19" x14ac:dyDescent="0.25">
      <c r="A275" s="17">
        <v>274</v>
      </c>
      <c r="B275" s="18" t="s">
        <v>3297</v>
      </c>
      <c r="C275" s="18" t="s">
        <v>3263</v>
      </c>
      <c r="D275" s="18" t="s">
        <v>44</v>
      </c>
      <c r="E275" s="18" t="s">
        <v>3166</v>
      </c>
      <c r="F275" s="18" t="s">
        <v>15</v>
      </c>
      <c r="G275" s="18" t="s">
        <v>3264</v>
      </c>
      <c r="H275" s="18" t="s">
        <v>15</v>
      </c>
      <c r="I275" s="18" t="s">
        <v>3167</v>
      </c>
      <c r="J275" s="18" t="s">
        <v>2836</v>
      </c>
      <c r="K275" s="18" t="s">
        <v>2837</v>
      </c>
      <c r="L275" s="18" t="s">
        <v>3298</v>
      </c>
      <c r="M275" s="18" t="s">
        <v>15</v>
      </c>
      <c r="N275" s="18" t="s">
        <v>15</v>
      </c>
      <c r="O275" s="18" t="s">
        <v>3266</v>
      </c>
      <c r="P275" s="18" t="s">
        <v>61</v>
      </c>
      <c r="Q275" s="18" t="s">
        <v>15</v>
      </c>
      <c r="R275" s="18" t="s">
        <v>3171</v>
      </c>
      <c r="S275" s="18" t="s">
        <v>15</v>
      </c>
    </row>
    <row r="276" spans="1:19" x14ac:dyDescent="0.25">
      <c r="A276" s="17">
        <v>275</v>
      </c>
      <c r="B276" s="18" t="s">
        <v>3299</v>
      </c>
      <c r="C276" s="18" t="s">
        <v>3263</v>
      </c>
      <c r="D276" s="18" t="s">
        <v>44</v>
      </c>
      <c r="E276" s="18" t="s">
        <v>3166</v>
      </c>
      <c r="F276" s="18" t="s">
        <v>15</v>
      </c>
      <c r="G276" s="18" t="s">
        <v>3264</v>
      </c>
      <c r="H276" s="18" t="s">
        <v>15</v>
      </c>
      <c r="I276" s="18" t="s">
        <v>3167</v>
      </c>
      <c r="J276" s="18" t="s">
        <v>2956</v>
      </c>
      <c r="K276" s="18" t="s">
        <v>2837</v>
      </c>
      <c r="L276" s="18" t="s">
        <v>3300</v>
      </c>
      <c r="M276" s="18" t="s">
        <v>15</v>
      </c>
      <c r="N276" s="18" t="s">
        <v>15</v>
      </c>
      <c r="O276" s="18" t="s">
        <v>3266</v>
      </c>
      <c r="P276" s="18" t="s">
        <v>61</v>
      </c>
      <c r="Q276" s="18" t="s">
        <v>15</v>
      </c>
      <c r="R276" s="18" t="s">
        <v>3171</v>
      </c>
      <c r="S276" s="18" t="s">
        <v>15</v>
      </c>
    </row>
    <row r="277" spans="1:19" x14ac:dyDescent="0.25">
      <c r="A277" s="17">
        <v>276</v>
      </c>
      <c r="B277" s="18" t="s">
        <v>3301</v>
      </c>
      <c r="C277" s="18" t="s">
        <v>3263</v>
      </c>
      <c r="D277" s="18" t="s">
        <v>44</v>
      </c>
      <c r="E277" s="18" t="s">
        <v>3166</v>
      </c>
      <c r="F277" s="18" t="s">
        <v>15</v>
      </c>
      <c r="G277" s="18" t="s">
        <v>3264</v>
      </c>
      <c r="H277" s="18" t="s">
        <v>15</v>
      </c>
      <c r="I277" s="18" t="s">
        <v>3167</v>
      </c>
      <c r="J277" s="18" t="s">
        <v>3092</v>
      </c>
      <c r="K277" s="18" t="s">
        <v>2837</v>
      </c>
      <c r="L277" s="18" t="s">
        <v>3302</v>
      </c>
      <c r="M277" s="18" t="s">
        <v>15</v>
      </c>
      <c r="N277" s="18" t="s">
        <v>15</v>
      </c>
      <c r="O277" s="18" t="s">
        <v>3266</v>
      </c>
      <c r="P277" s="18" t="s">
        <v>61</v>
      </c>
      <c r="Q277" s="18" t="s">
        <v>15</v>
      </c>
      <c r="R277" s="18" t="s">
        <v>3171</v>
      </c>
      <c r="S277" s="18" t="s">
        <v>15</v>
      </c>
    </row>
    <row r="278" spans="1:19" x14ac:dyDescent="0.25">
      <c r="A278" s="17">
        <v>277</v>
      </c>
      <c r="B278" s="18" t="s">
        <v>3303</v>
      </c>
      <c r="C278" s="18" t="s">
        <v>3263</v>
      </c>
      <c r="D278" s="18" t="s">
        <v>44</v>
      </c>
      <c r="E278" s="18" t="s">
        <v>3166</v>
      </c>
      <c r="F278" s="18" t="s">
        <v>15</v>
      </c>
      <c r="G278" s="18" t="s">
        <v>3264</v>
      </c>
      <c r="H278" s="18" t="s">
        <v>15</v>
      </c>
      <c r="I278" s="18" t="s">
        <v>3167</v>
      </c>
      <c r="J278" s="18" t="s">
        <v>3043</v>
      </c>
      <c r="K278" s="18" t="s">
        <v>2837</v>
      </c>
      <c r="L278" s="18" t="s">
        <v>3304</v>
      </c>
      <c r="M278" s="18" t="s">
        <v>15</v>
      </c>
      <c r="N278" s="18" t="s">
        <v>15</v>
      </c>
      <c r="O278" s="18" t="s">
        <v>3266</v>
      </c>
      <c r="P278" s="18" t="s">
        <v>61</v>
      </c>
      <c r="Q278" s="18" t="s">
        <v>15</v>
      </c>
      <c r="R278" s="18" t="s">
        <v>3171</v>
      </c>
      <c r="S278" s="18" t="s">
        <v>15</v>
      </c>
    </row>
    <row r="279" spans="1:19" x14ac:dyDescent="0.25">
      <c r="A279" s="17">
        <v>278</v>
      </c>
      <c r="B279" s="18" t="s">
        <v>3305</v>
      </c>
      <c r="C279" s="18" t="s">
        <v>3263</v>
      </c>
      <c r="D279" s="18" t="s">
        <v>44</v>
      </c>
      <c r="E279" s="18" t="s">
        <v>3166</v>
      </c>
      <c r="F279" s="18" t="s">
        <v>15</v>
      </c>
      <c r="G279" s="18" t="s">
        <v>3264</v>
      </c>
      <c r="H279" s="18" t="s">
        <v>15</v>
      </c>
      <c r="I279" s="18" t="s">
        <v>3167</v>
      </c>
      <c r="J279" s="18" t="s">
        <v>2947</v>
      </c>
      <c r="K279" s="18" t="s">
        <v>2837</v>
      </c>
      <c r="L279" s="18" t="s">
        <v>3306</v>
      </c>
      <c r="M279" s="18" t="s">
        <v>15</v>
      </c>
      <c r="N279" s="18" t="s">
        <v>15</v>
      </c>
      <c r="O279" s="18" t="s">
        <v>3266</v>
      </c>
      <c r="P279" s="18" t="s">
        <v>61</v>
      </c>
      <c r="Q279" s="18" t="s">
        <v>15</v>
      </c>
      <c r="R279" s="18" t="s">
        <v>3171</v>
      </c>
      <c r="S279" s="18" t="s">
        <v>15</v>
      </c>
    </row>
    <row r="280" spans="1:19" x14ac:dyDescent="0.25">
      <c r="A280" s="17">
        <v>279</v>
      </c>
      <c r="B280" s="18" t="s">
        <v>3307</v>
      </c>
      <c r="C280" s="18" t="s">
        <v>3263</v>
      </c>
      <c r="D280" s="18" t="s">
        <v>44</v>
      </c>
      <c r="E280" s="18" t="s">
        <v>3166</v>
      </c>
      <c r="F280" s="18" t="s">
        <v>15</v>
      </c>
      <c r="G280" s="18" t="s">
        <v>3264</v>
      </c>
      <c r="H280" s="18" t="s">
        <v>15</v>
      </c>
      <c r="I280" s="18" t="s">
        <v>3167</v>
      </c>
      <c r="J280" s="18" t="s">
        <v>3019</v>
      </c>
      <c r="K280" s="18" t="s">
        <v>2837</v>
      </c>
      <c r="L280" s="18" t="s">
        <v>3308</v>
      </c>
      <c r="M280" s="18" t="s">
        <v>15</v>
      </c>
      <c r="N280" s="18" t="s">
        <v>15</v>
      </c>
      <c r="O280" s="18" t="s">
        <v>3266</v>
      </c>
      <c r="P280" s="18" t="s">
        <v>61</v>
      </c>
      <c r="Q280" s="18" t="s">
        <v>15</v>
      </c>
      <c r="R280" s="18" t="s">
        <v>3171</v>
      </c>
      <c r="S280" s="18" t="s">
        <v>15</v>
      </c>
    </row>
    <row r="281" spans="1:19" x14ac:dyDescent="0.25">
      <c r="A281" s="17">
        <v>280</v>
      </c>
      <c r="B281" s="18" t="s">
        <v>3309</v>
      </c>
      <c r="C281" s="18" t="s">
        <v>3263</v>
      </c>
      <c r="D281" s="18" t="s">
        <v>44</v>
      </c>
      <c r="E281" s="18" t="s">
        <v>3166</v>
      </c>
      <c r="F281" s="18" t="s">
        <v>15</v>
      </c>
      <c r="G281" s="18" t="s">
        <v>3264</v>
      </c>
      <c r="H281" s="18" t="s">
        <v>15</v>
      </c>
      <c r="I281" s="18" t="s">
        <v>3167</v>
      </c>
      <c r="J281" s="18" t="s">
        <v>3007</v>
      </c>
      <c r="K281" s="18" t="s">
        <v>2837</v>
      </c>
      <c r="L281" s="18" t="s">
        <v>3310</v>
      </c>
      <c r="M281" s="18" t="s">
        <v>15</v>
      </c>
      <c r="N281" s="18" t="s">
        <v>15</v>
      </c>
      <c r="O281" s="18" t="s">
        <v>3266</v>
      </c>
      <c r="P281" s="18" t="s">
        <v>61</v>
      </c>
      <c r="Q281" s="18" t="s">
        <v>15</v>
      </c>
      <c r="R281" s="18" t="s">
        <v>3171</v>
      </c>
      <c r="S281" s="18" t="s">
        <v>15</v>
      </c>
    </row>
    <row r="282" spans="1:19" x14ac:dyDescent="0.25">
      <c r="A282" s="17">
        <v>281</v>
      </c>
      <c r="B282" s="18" t="s">
        <v>3311</v>
      </c>
      <c r="C282" s="18" t="s">
        <v>3263</v>
      </c>
      <c r="D282" s="18" t="s">
        <v>44</v>
      </c>
      <c r="E282" s="18" t="s">
        <v>3166</v>
      </c>
      <c r="F282" s="18" t="s">
        <v>15</v>
      </c>
      <c r="G282" s="18" t="s">
        <v>3264</v>
      </c>
      <c r="H282" s="18" t="s">
        <v>15</v>
      </c>
      <c r="I282" s="18" t="s">
        <v>3167</v>
      </c>
      <c r="J282" s="18" t="s">
        <v>2843</v>
      </c>
      <c r="K282" s="18" t="s">
        <v>2837</v>
      </c>
      <c r="L282" s="18" t="s">
        <v>3312</v>
      </c>
      <c r="M282" s="18" t="s">
        <v>15</v>
      </c>
      <c r="N282" s="18" t="s">
        <v>15</v>
      </c>
      <c r="O282" s="18" t="s">
        <v>3266</v>
      </c>
      <c r="P282" s="18" t="s">
        <v>61</v>
      </c>
      <c r="Q282" s="18" t="s">
        <v>15</v>
      </c>
      <c r="R282" s="18" t="s">
        <v>3171</v>
      </c>
      <c r="S282" s="18" t="s">
        <v>15</v>
      </c>
    </row>
    <row r="283" spans="1:19" x14ac:dyDescent="0.25">
      <c r="A283" s="17">
        <v>282</v>
      </c>
      <c r="B283" s="18" t="s">
        <v>3313</v>
      </c>
      <c r="C283" s="18" t="s">
        <v>3263</v>
      </c>
      <c r="D283" s="18" t="s">
        <v>44</v>
      </c>
      <c r="E283" s="18" t="s">
        <v>3166</v>
      </c>
      <c r="F283" s="18" t="s">
        <v>15</v>
      </c>
      <c r="G283" s="18" t="s">
        <v>3264</v>
      </c>
      <c r="H283" s="18" t="s">
        <v>15</v>
      </c>
      <c r="I283" s="18" t="s">
        <v>3167</v>
      </c>
      <c r="J283" s="18" t="s">
        <v>3163</v>
      </c>
      <c r="K283" s="18" t="s">
        <v>2837</v>
      </c>
      <c r="L283" s="18" t="s">
        <v>3314</v>
      </c>
      <c r="M283" s="18" t="s">
        <v>15</v>
      </c>
      <c r="N283" s="18" t="s">
        <v>15</v>
      </c>
      <c r="O283" s="18" t="s">
        <v>3266</v>
      </c>
      <c r="P283" s="18" t="s">
        <v>61</v>
      </c>
      <c r="Q283" s="18" t="s">
        <v>15</v>
      </c>
      <c r="R283" s="18" t="s">
        <v>3171</v>
      </c>
      <c r="S283" s="18" t="s">
        <v>15</v>
      </c>
    </row>
    <row r="284" spans="1:19" x14ac:dyDescent="0.25">
      <c r="A284" s="17">
        <v>283</v>
      </c>
      <c r="B284" s="18" t="s">
        <v>3315</v>
      </c>
      <c r="C284" s="18" t="s">
        <v>3263</v>
      </c>
      <c r="D284" s="18" t="s">
        <v>44</v>
      </c>
      <c r="E284" s="18" t="s">
        <v>3166</v>
      </c>
      <c r="F284" s="18" t="s">
        <v>15</v>
      </c>
      <c r="G284" s="18" t="s">
        <v>3264</v>
      </c>
      <c r="H284" s="18" t="s">
        <v>15</v>
      </c>
      <c r="I284" s="18" t="s">
        <v>3167</v>
      </c>
      <c r="J284" s="18" t="s">
        <v>2984</v>
      </c>
      <c r="K284" s="18" t="s">
        <v>2837</v>
      </c>
      <c r="L284" s="18" t="s">
        <v>3316</v>
      </c>
      <c r="M284" s="18" t="s">
        <v>15</v>
      </c>
      <c r="N284" s="18" t="s">
        <v>15</v>
      </c>
      <c r="O284" s="18" t="s">
        <v>3266</v>
      </c>
      <c r="P284" s="18" t="s">
        <v>61</v>
      </c>
      <c r="Q284" s="18" t="s">
        <v>15</v>
      </c>
      <c r="R284" s="18" t="s">
        <v>3171</v>
      </c>
      <c r="S284" s="18" t="s">
        <v>15</v>
      </c>
    </row>
    <row r="285" spans="1:19" x14ac:dyDescent="0.25">
      <c r="A285" s="17">
        <v>284</v>
      </c>
      <c r="B285" s="18" t="s">
        <v>3317</v>
      </c>
      <c r="C285" s="18" t="s">
        <v>3263</v>
      </c>
      <c r="D285" s="18" t="s">
        <v>44</v>
      </c>
      <c r="E285" s="18" t="s">
        <v>3318</v>
      </c>
      <c r="F285" s="18" t="s">
        <v>15</v>
      </c>
      <c r="G285" s="18" t="s">
        <v>3264</v>
      </c>
      <c r="H285" s="18" t="s">
        <v>15</v>
      </c>
      <c r="I285" s="18" t="s">
        <v>3167</v>
      </c>
      <c r="J285" s="18" t="s">
        <v>3038</v>
      </c>
      <c r="K285" s="18" t="s">
        <v>2837</v>
      </c>
      <c r="L285" s="18" t="s">
        <v>3319</v>
      </c>
      <c r="M285" s="18" t="s">
        <v>15</v>
      </c>
      <c r="N285" s="18" t="s">
        <v>15</v>
      </c>
      <c r="O285" s="18" t="s">
        <v>3266</v>
      </c>
      <c r="P285" s="18" t="s">
        <v>61</v>
      </c>
      <c r="Q285" s="18" t="s">
        <v>15</v>
      </c>
      <c r="R285" s="18" t="s">
        <v>3171</v>
      </c>
      <c r="S285" s="18" t="s">
        <v>15</v>
      </c>
    </row>
    <row r="286" spans="1:19" x14ac:dyDescent="0.25">
      <c r="A286" s="17">
        <v>285</v>
      </c>
      <c r="B286" s="18" t="s">
        <v>15</v>
      </c>
      <c r="C286" s="18" t="s">
        <v>15</v>
      </c>
      <c r="D286" s="18" t="s">
        <v>15</v>
      </c>
      <c r="E286" s="18" t="s">
        <v>15</v>
      </c>
      <c r="F286" s="18" t="s">
        <v>15</v>
      </c>
      <c r="G286" s="18" t="s">
        <v>15</v>
      </c>
      <c r="H286" s="18" t="s">
        <v>15</v>
      </c>
      <c r="I286" s="18" t="s">
        <v>3167</v>
      </c>
      <c r="J286" s="18" t="s">
        <v>2882</v>
      </c>
      <c r="K286" s="18" t="s">
        <v>3168</v>
      </c>
      <c r="L286" s="18" t="s">
        <v>3320</v>
      </c>
      <c r="M286" s="18" t="s">
        <v>15</v>
      </c>
      <c r="N286" s="18" t="s">
        <v>15</v>
      </c>
      <c r="O286" s="18" t="s">
        <v>15</v>
      </c>
      <c r="P286" s="18" t="s">
        <v>15</v>
      </c>
      <c r="Q286" s="18" t="s">
        <v>15</v>
      </c>
      <c r="R286" s="18" t="s">
        <v>3171</v>
      </c>
      <c r="S286" s="18" t="s">
        <v>15</v>
      </c>
    </row>
    <row r="287" spans="1:19" x14ac:dyDescent="0.25">
      <c r="A287" s="17">
        <v>286</v>
      </c>
      <c r="B287" s="18" t="s">
        <v>15</v>
      </c>
      <c r="C287" s="18" t="s">
        <v>15</v>
      </c>
      <c r="D287" s="18" t="s">
        <v>15</v>
      </c>
      <c r="E287" s="18" t="s">
        <v>15</v>
      </c>
      <c r="F287" s="18" t="s">
        <v>15</v>
      </c>
      <c r="G287" s="18" t="s">
        <v>15</v>
      </c>
      <c r="H287" s="18" t="s">
        <v>15</v>
      </c>
      <c r="I287" s="18" t="s">
        <v>3167</v>
      </c>
      <c r="J287" s="18" t="s">
        <v>3321</v>
      </c>
      <c r="K287" s="18" t="s">
        <v>3168</v>
      </c>
      <c r="L287" s="18" t="s">
        <v>3322</v>
      </c>
      <c r="M287" s="18" t="s">
        <v>15</v>
      </c>
      <c r="N287" s="18" t="s">
        <v>15</v>
      </c>
      <c r="O287" s="18" t="s">
        <v>15</v>
      </c>
      <c r="P287" s="18" t="s">
        <v>15</v>
      </c>
      <c r="Q287" s="18" t="s">
        <v>15</v>
      </c>
      <c r="R287" s="18" t="s">
        <v>3171</v>
      </c>
      <c r="S287" s="18" t="s">
        <v>15</v>
      </c>
    </row>
    <row r="288" spans="1:19" x14ac:dyDescent="0.25">
      <c r="A288" s="17">
        <v>287</v>
      </c>
      <c r="B288" s="18" t="s">
        <v>15</v>
      </c>
      <c r="C288" s="18" t="s">
        <v>15</v>
      </c>
      <c r="D288" s="18" t="s">
        <v>15</v>
      </c>
      <c r="E288" s="18" t="s">
        <v>15</v>
      </c>
      <c r="F288" s="18" t="s">
        <v>15</v>
      </c>
      <c r="G288" s="18" t="s">
        <v>15</v>
      </c>
      <c r="H288" s="18" t="s">
        <v>15</v>
      </c>
      <c r="I288" s="18" t="s">
        <v>3167</v>
      </c>
      <c r="J288" s="18" t="s">
        <v>3323</v>
      </c>
      <c r="K288" s="18" t="s">
        <v>2943</v>
      </c>
      <c r="L288" s="18" t="s">
        <v>3324</v>
      </c>
      <c r="M288" s="18" t="s">
        <v>15</v>
      </c>
      <c r="N288" s="18" t="s">
        <v>15</v>
      </c>
      <c r="O288" s="18" t="s">
        <v>15</v>
      </c>
      <c r="P288" s="18" t="s">
        <v>15</v>
      </c>
      <c r="Q288" s="18" t="s">
        <v>15</v>
      </c>
      <c r="R288" s="18" t="s">
        <v>3171</v>
      </c>
      <c r="S288" s="18" t="s">
        <v>15</v>
      </c>
    </row>
    <row r="289" spans="1:19" x14ac:dyDescent="0.25">
      <c r="A289" s="17">
        <v>288</v>
      </c>
      <c r="B289" s="18" t="s">
        <v>15</v>
      </c>
      <c r="C289" s="18" t="s">
        <v>15</v>
      </c>
      <c r="D289" s="18" t="s">
        <v>15</v>
      </c>
      <c r="E289" s="18" t="s">
        <v>15</v>
      </c>
      <c r="F289" s="18" t="s">
        <v>15</v>
      </c>
      <c r="G289" s="18" t="s">
        <v>15</v>
      </c>
      <c r="H289" s="18" t="s">
        <v>15</v>
      </c>
      <c r="I289" s="18" t="s">
        <v>3167</v>
      </c>
      <c r="J289" s="18" t="s">
        <v>3325</v>
      </c>
      <c r="K289" s="18" t="s">
        <v>2943</v>
      </c>
      <c r="L289" s="18" t="s">
        <v>3326</v>
      </c>
      <c r="M289" s="18" t="s">
        <v>15</v>
      </c>
      <c r="N289" s="18" t="s">
        <v>15</v>
      </c>
      <c r="O289" s="18" t="s">
        <v>15</v>
      </c>
      <c r="P289" s="18" t="s">
        <v>15</v>
      </c>
      <c r="Q289" s="18" t="s">
        <v>15</v>
      </c>
      <c r="R289" s="18" t="s">
        <v>3171</v>
      </c>
      <c r="S289" s="18" t="s">
        <v>15</v>
      </c>
    </row>
    <row r="290" spans="1:19" x14ac:dyDescent="0.25">
      <c r="A290" s="17">
        <v>289</v>
      </c>
      <c r="B290" s="18" t="s">
        <v>15</v>
      </c>
      <c r="C290" s="18" t="s">
        <v>15</v>
      </c>
      <c r="D290" s="18" t="s">
        <v>15</v>
      </c>
      <c r="E290" s="18" t="s">
        <v>15</v>
      </c>
      <c r="F290" s="18" t="s">
        <v>15</v>
      </c>
      <c r="G290" s="18" t="s">
        <v>15</v>
      </c>
      <c r="H290" s="18" t="s">
        <v>15</v>
      </c>
      <c r="I290" s="18" t="s">
        <v>3167</v>
      </c>
      <c r="J290" s="18" t="s">
        <v>3327</v>
      </c>
      <c r="K290" s="18" t="s">
        <v>2943</v>
      </c>
      <c r="L290" s="18" t="s">
        <v>3328</v>
      </c>
      <c r="M290" s="18" t="s">
        <v>15</v>
      </c>
      <c r="N290" s="18" t="s">
        <v>15</v>
      </c>
      <c r="O290" s="18" t="s">
        <v>15</v>
      </c>
      <c r="P290" s="18" t="s">
        <v>15</v>
      </c>
      <c r="Q290" s="18" t="s">
        <v>15</v>
      </c>
      <c r="R290" s="18" t="s">
        <v>3171</v>
      </c>
      <c r="S290" s="18" t="s">
        <v>15</v>
      </c>
    </row>
    <row r="291" spans="1:19" x14ac:dyDescent="0.25">
      <c r="A291" s="17">
        <v>290</v>
      </c>
      <c r="B291" s="18" t="s">
        <v>15</v>
      </c>
      <c r="C291" s="18" t="s">
        <v>15</v>
      </c>
      <c r="D291" s="18" t="s">
        <v>15</v>
      </c>
      <c r="E291" s="18" t="s">
        <v>15</v>
      </c>
      <c r="F291" s="18" t="s">
        <v>15</v>
      </c>
      <c r="G291" s="18" t="s">
        <v>3329</v>
      </c>
      <c r="H291" s="18" t="s">
        <v>3330</v>
      </c>
      <c r="I291" s="18" t="s">
        <v>3331</v>
      </c>
      <c r="J291" s="18" t="s">
        <v>15</v>
      </c>
      <c r="K291" s="18" t="s">
        <v>15</v>
      </c>
      <c r="L291" s="18" t="s">
        <v>3332</v>
      </c>
      <c r="M291" s="18" t="s">
        <v>15</v>
      </c>
      <c r="N291" s="18" t="s">
        <v>15</v>
      </c>
      <c r="O291" s="18" t="s">
        <v>15</v>
      </c>
      <c r="P291" s="18" t="s">
        <v>15</v>
      </c>
      <c r="Q291" s="18" t="s">
        <v>15</v>
      </c>
      <c r="R291" s="18" t="s">
        <v>15</v>
      </c>
      <c r="S291" s="18" t="s">
        <v>15</v>
      </c>
    </row>
    <row r="292" spans="1:19" x14ac:dyDescent="0.25">
      <c r="A292" s="17">
        <v>291</v>
      </c>
      <c r="B292" s="18" t="s">
        <v>15</v>
      </c>
      <c r="C292" s="18" t="s">
        <v>15</v>
      </c>
      <c r="D292" s="18" t="s">
        <v>15</v>
      </c>
      <c r="E292" s="18" t="s">
        <v>15</v>
      </c>
      <c r="F292" s="18" t="s">
        <v>15</v>
      </c>
      <c r="G292" s="18" t="s">
        <v>3329</v>
      </c>
      <c r="H292" s="18" t="s">
        <v>3333</v>
      </c>
      <c r="I292" s="18" t="s">
        <v>3331</v>
      </c>
      <c r="J292" s="18" t="s">
        <v>15</v>
      </c>
      <c r="K292" s="18" t="s">
        <v>15</v>
      </c>
      <c r="L292" s="18" t="s">
        <v>3334</v>
      </c>
      <c r="M292" s="18" t="s">
        <v>15</v>
      </c>
      <c r="N292" s="18" t="s">
        <v>15</v>
      </c>
      <c r="O292" s="18" t="s">
        <v>15</v>
      </c>
      <c r="P292" s="18" t="s">
        <v>15</v>
      </c>
      <c r="Q292" s="18" t="s">
        <v>15</v>
      </c>
      <c r="R292" s="18" t="s">
        <v>15</v>
      </c>
      <c r="S292" s="18" t="s">
        <v>15</v>
      </c>
    </row>
    <row r="293" spans="1:19" x14ac:dyDescent="0.25">
      <c r="A293" s="17">
        <v>292</v>
      </c>
      <c r="B293" s="18" t="s">
        <v>15</v>
      </c>
      <c r="C293" s="18" t="s">
        <v>15</v>
      </c>
      <c r="D293" s="18" t="s">
        <v>15</v>
      </c>
      <c r="E293" s="18" t="s">
        <v>15</v>
      </c>
      <c r="F293" s="18" t="s">
        <v>15</v>
      </c>
      <c r="G293" s="18" t="s">
        <v>3329</v>
      </c>
      <c r="H293" s="18" t="s">
        <v>3335</v>
      </c>
      <c r="I293" s="18" t="s">
        <v>3331</v>
      </c>
      <c r="J293" s="18" t="s">
        <v>15</v>
      </c>
      <c r="K293" s="18" t="s">
        <v>15</v>
      </c>
      <c r="L293" s="18" t="s">
        <v>3336</v>
      </c>
      <c r="M293" s="18" t="s">
        <v>15</v>
      </c>
      <c r="N293" s="18" t="s">
        <v>15</v>
      </c>
      <c r="O293" s="18" t="s">
        <v>15</v>
      </c>
      <c r="P293" s="18" t="s">
        <v>15</v>
      </c>
      <c r="Q293" s="18" t="s">
        <v>15</v>
      </c>
      <c r="R293" s="18" t="s">
        <v>15</v>
      </c>
      <c r="S293" s="18" t="s">
        <v>15</v>
      </c>
    </row>
    <row r="294" spans="1:19" x14ac:dyDescent="0.25">
      <c r="A294" s="17">
        <v>293</v>
      </c>
      <c r="B294" s="18" t="s">
        <v>15</v>
      </c>
      <c r="C294" s="18" t="s">
        <v>15</v>
      </c>
      <c r="D294" s="18" t="s">
        <v>15</v>
      </c>
      <c r="E294" s="18" t="s">
        <v>15</v>
      </c>
      <c r="F294" s="18" t="s">
        <v>15</v>
      </c>
      <c r="G294" s="18" t="s">
        <v>3329</v>
      </c>
      <c r="H294" s="18" t="s">
        <v>3337</v>
      </c>
      <c r="I294" s="18" t="s">
        <v>3331</v>
      </c>
      <c r="J294" s="18" t="s">
        <v>15</v>
      </c>
      <c r="K294" s="18" t="s">
        <v>15</v>
      </c>
      <c r="L294" s="18" t="s">
        <v>3338</v>
      </c>
      <c r="M294" s="18" t="s">
        <v>15</v>
      </c>
      <c r="N294" s="18" t="s">
        <v>15</v>
      </c>
      <c r="O294" s="18" t="s">
        <v>15</v>
      </c>
      <c r="P294" s="18" t="s">
        <v>15</v>
      </c>
      <c r="Q294" s="18" t="s">
        <v>15</v>
      </c>
      <c r="R294" s="18" t="s">
        <v>15</v>
      </c>
      <c r="S294" s="18" t="s">
        <v>15</v>
      </c>
    </row>
    <row r="295" spans="1:19" x14ac:dyDescent="0.25">
      <c r="A295" s="17">
        <v>294</v>
      </c>
      <c r="B295" s="18" t="s">
        <v>15</v>
      </c>
      <c r="C295" s="18" t="s">
        <v>15</v>
      </c>
      <c r="D295" s="18" t="s">
        <v>15</v>
      </c>
      <c r="E295" s="18" t="s">
        <v>15</v>
      </c>
      <c r="F295" s="18" t="s">
        <v>15</v>
      </c>
      <c r="G295" s="18" t="s">
        <v>15</v>
      </c>
      <c r="H295" s="18" t="s">
        <v>3339</v>
      </c>
      <c r="I295" s="18" t="s">
        <v>3340</v>
      </c>
      <c r="J295" s="18" t="s">
        <v>3002</v>
      </c>
      <c r="K295" s="18" t="s">
        <v>15</v>
      </c>
      <c r="L295" s="18" t="s">
        <v>3341</v>
      </c>
      <c r="M295" s="18" t="s">
        <v>15</v>
      </c>
      <c r="N295" s="18" t="s">
        <v>15</v>
      </c>
      <c r="O295" s="18" t="s">
        <v>15</v>
      </c>
      <c r="P295" s="18" t="s">
        <v>15</v>
      </c>
      <c r="Q295" s="18" t="s">
        <v>15</v>
      </c>
      <c r="R295" s="18" t="s">
        <v>15</v>
      </c>
      <c r="S295" s="18" t="s">
        <v>15</v>
      </c>
    </row>
    <row r="296" spans="1:19" x14ac:dyDescent="0.25">
      <c r="A296" s="17">
        <v>295</v>
      </c>
      <c r="B296" s="18" t="s">
        <v>15</v>
      </c>
      <c r="C296" s="18" t="s">
        <v>15</v>
      </c>
      <c r="D296" s="18" t="s">
        <v>15</v>
      </c>
      <c r="E296" s="18" t="s">
        <v>15</v>
      </c>
      <c r="F296" s="18" t="s">
        <v>15</v>
      </c>
      <c r="G296" s="18" t="s">
        <v>3227</v>
      </c>
      <c r="H296" s="18" t="s">
        <v>3342</v>
      </c>
      <c r="I296" s="18" t="s">
        <v>3343</v>
      </c>
      <c r="J296" s="18" t="s">
        <v>2882</v>
      </c>
      <c r="K296" s="18" t="s">
        <v>15</v>
      </c>
      <c r="L296" s="18" t="s">
        <v>3344</v>
      </c>
      <c r="M296" s="18" t="s">
        <v>15</v>
      </c>
      <c r="N296" s="18" t="s">
        <v>15</v>
      </c>
      <c r="O296" s="18" t="s">
        <v>15</v>
      </c>
      <c r="P296" s="18" t="s">
        <v>15</v>
      </c>
      <c r="Q296" s="18" t="s">
        <v>15</v>
      </c>
      <c r="R296" s="18" t="s">
        <v>15</v>
      </c>
      <c r="S296" s="18" t="s">
        <v>15</v>
      </c>
    </row>
    <row r="297" spans="1:19" x14ac:dyDescent="0.25">
      <c r="A297" s="17">
        <v>296</v>
      </c>
      <c r="B297" s="18" t="s">
        <v>15</v>
      </c>
      <c r="C297" s="18" t="s">
        <v>15</v>
      </c>
      <c r="D297" s="18" t="s">
        <v>15</v>
      </c>
      <c r="E297" s="18" t="s">
        <v>15</v>
      </c>
      <c r="F297" s="18" t="s">
        <v>15</v>
      </c>
      <c r="G297" s="18" t="s">
        <v>3345</v>
      </c>
      <c r="H297" s="18" t="s">
        <v>3346</v>
      </c>
      <c r="I297" s="18" t="s">
        <v>3347</v>
      </c>
      <c r="J297" s="18" t="s">
        <v>3047</v>
      </c>
      <c r="K297" s="18" t="s">
        <v>3348</v>
      </c>
      <c r="L297" s="18" t="s">
        <v>3349</v>
      </c>
      <c r="M297" s="18" t="s">
        <v>15</v>
      </c>
      <c r="N297" s="18" t="s">
        <v>15</v>
      </c>
      <c r="O297" s="18" t="s">
        <v>15</v>
      </c>
      <c r="P297" s="18" t="s">
        <v>15</v>
      </c>
      <c r="Q297" s="18" t="s">
        <v>15</v>
      </c>
      <c r="R297" s="18" t="s">
        <v>3350</v>
      </c>
      <c r="S297" s="18" t="s">
        <v>15</v>
      </c>
    </row>
    <row r="298" spans="1:19" x14ac:dyDescent="0.25">
      <c r="A298" s="17">
        <v>297</v>
      </c>
      <c r="B298" s="18" t="s">
        <v>15</v>
      </c>
      <c r="C298" s="18" t="s">
        <v>15</v>
      </c>
      <c r="D298" s="18" t="s">
        <v>15</v>
      </c>
      <c r="E298" s="18" t="s">
        <v>15</v>
      </c>
      <c r="F298" s="18" t="s">
        <v>15</v>
      </c>
      <c r="G298" s="18" t="s">
        <v>3329</v>
      </c>
      <c r="H298" s="18" t="s">
        <v>3351</v>
      </c>
      <c r="I298" s="18" t="s">
        <v>3352</v>
      </c>
      <c r="J298" s="18" t="s">
        <v>3353</v>
      </c>
      <c r="K298" s="18" t="s">
        <v>2943</v>
      </c>
      <c r="L298" s="18" t="s">
        <v>3354</v>
      </c>
      <c r="M298" s="18" t="s">
        <v>15</v>
      </c>
      <c r="N298" s="18" t="s">
        <v>15</v>
      </c>
      <c r="O298" s="18" t="s">
        <v>15</v>
      </c>
      <c r="P298" s="18" t="s">
        <v>15</v>
      </c>
      <c r="Q298" s="18" t="s">
        <v>15</v>
      </c>
      <c r="R298" s="18" t="s">
        <v>816</v>
      </c>
      <c r="S298" s="18" t="s">
        <v>15</v>
      </c>
    </row>
    <row r="299" spans="1:19" x14ac:dyDescent="0.25">
      <c r="A299" s="17">
        <v>298</v>
      </c>
      <c r="B299" s="18" t="s">
        <v>15</v>
      </c>
      <c r="C299" s="18" t="s">
        <v>15</v>
      </c>
      <c r="D299" s="18" t="s">
        <v>15</v>
      </c>
      <c r="E299" s="18" t="s">
        <v>15</v>
      </c>
      <c r="F299" s="18" t="s">
        <v>15</v>
      </c>
      <c r="G299" s="18" t="s">
        <v>3329</v>
      </c>
      <c r="H299" s="18" t="s">
        <v>3355</v>
      </c>
      <c r="I299" s="18" t="s">
        <v>3352</v>
      </c>
      <c r="J299" s="18" t="s">
        <v>3240</v>
      </c>
      <c r="K299" s="18" t="s">
        <v>2943</v>
      </c>
      <c r="L299" s="18" t="s">
        <v>3356</v>
      </c>
      <c r="M299" s="18" t="s">
        <v>15</v>
      </c>
      <c r="N299" s="18" t="s">
        <v>15</v>
      </c>
      <c r="O299" s="18" t="s">
        <v>15</v>
      </c>
      <c r="P299" s="18" t="s">
        <v>15</v>
      </c>
      <c r="Q299" s="18" t="s">
        <v>15</v>
      </c>
      <c r="R299" s="18" t="s">
        <v>816</v>
      </c>
      <c r="S299" s="18" t="s">
        <v>15</v>
      </c>
    </row>
    <row r="300" spans="1:19" x14ac:dyDescent="0.25">
      <c r="A300" s="17">
        <v>299</v>
      </c>
      <c r="B300" s="18" t="s">
        <v>15</v>
      </c>
      <c r="C300" s="18" t="s">
        <v>15</v>
      </c>
      <c r="D300" s="18" t="s">
        <v>15</v>
      </c>
      <c r="E300" s="18" t="s">
        <v>15</v>
      </c>
      <c r="F300" s="18" t="s">
        <v>15</v>
      </c>
      <c r="G300" s="18" t="s">
        <v>15</v>
      </c>
      <c r="H300" s="18" t="s">
        <v>3357</v>
      </c>
      <c r="I300" s="18" t="s">
        <v>3358</v>
      </c>
      <c r="J300" s="18" t="s">
        <v>3050</v>
      </c>
      <c r="K300" s="18" t="s">
        <v>15</v>
      </c>
      <c r="L300" s="18" t="s">
        <v>3359</v>
      </c>
      <c r="M300" s="18" t="s">
        <v>15</v>
      </c>
      <c r="N300" s="18" t="s">
        <v>15</v>
      </c>
      <c r="O300" s="18" t="s">
        <v>15</v>
      </c>
      <c r="P300" s="18" t="s">
        <v>15</v>
      </c>
      <c r="Q300" s="18" t="s">
        <v>15</v>
      </c>
      <c r="R300" s="18" t="s">
        <v>3360</v>
      </c>
      <c r="S300" s="18" t="s">
        <v>15</v>
      </c>
    </row>
    <row r="301" spans="1:19" x14ac:dyDescent="0.25">
      <c r="A301" s="17">
        <v>300</v>
      </c>
      <c r="B301" s="18" t="s">
        <v>15</v>
      </c>
      <c r="C301" s="18" t="s">
        <v>15</v>
      </c>
      <c r="D301" s="18" t="s">
        <v>15</v>
      </c>
      <c r="E301" s="18" t="s">
        <v>15</v>
      </c>
      <c r="F301" s="18" t="s">
        <v>15</v>
      </c>
      <c r="G301" s="18" t="s">
        <v>15</v>
      </c>
      <c r="H301" s="18" t="s">
        <v>3361</v>
      </c>
      <c r="I301" s="18" t="s">
        <v>15</v>
      </c>
      <c r="J301" s="18" t="s">
        <v>3085</v>
      </c>
      <c r="K301" s="18" t="s">
        <v>15</v>
      </c>
      <c r="L301" s="18" t="s">
        <v>3362</v>
      </c>
      <c r="M301" s="18" t="s">
        <v>15</v>
      </c>
      <c r="N301" s="18" t="s">
        <v>15</v>
      </c>
      <c r="O301" s="18" t="s">
        <v>15</v>
      </c>
      <c r="P301" s="18" t="s">
        <v>15</v>
      </c>
      <c r="Q301" s="18" t="s">
        <v>15</v>
      </c>
      <c r="R301" s="18" t="s">
        <v>15</v>
      </c>
      <c r="S301" s="18" t="s">
        <v>15</v>
      </c>
    </row>
    <row r="302" spans="1:19" x14ac:dyDescent="0.25">
      <c r="A302" s="17">
        <v>301</v>
      </c>
      <c r="B302" s="18" t="s">
        <v>15</v>
      </c>
      <c r="C302" s="18" t="s">
        <v>15</v>
      </c>
      <c r="D302" s="18" t="s">
        <v>15</v>
      </c>
      <c r="E302" s="18" t="s">
        <v>15</v>
      </c>
      <c r="F302" s="18" t="s">
        <v>15</v>
      </c>
      <c r="G302" s="18" t="s">
        <v>15</v>
      </c>
      <c r="H302" s="18" t="s">
        <v>3363</v>
      </c>
      <c r="I302" s="18" t="s">
        <v>15</v>
      </c>
      <c r="J302" s="18" t="s">
        <v>2843</v>
      </c>
      <c r="K302" s="18" t="s">
        <v>15</v>
      </c>
      <c r="L302" s="18" t="s">
        <v>3364</v>
      </c>
      <c r="M302" s="18" t="s">
        <v>15</v>
      </c>
      <c r="N302" s="18" t="s">
        <v>15</v>
      </c>
      <c r="O302" s="18" t="s">
        <v>15</v>
      </c>
      <c r="P302" s="18" t="s">
        <v>15</v>
      </c>
      <c r="Q302" s="18" t="s">
        <v>15</v>
      </c>
      <c r="R302" s="18" t="s">
        <v>15</v>
      </c>
      <c r="S302" s="18" t="s">
        <v>15</v>
      </c>
    </row>
    <row r="303" spans="1:19" x14ac:dyDescent="0.25">
      <c r="A303" s="17">
        <v>302</v>
      </c>
      <c r="B303" s="18" t="s">
        <v>15</v>
      </c>
      <c r="C303" s="18" t="s">
        <v>15</v>
      </c>
      <c r="D303" s="18" t="s">
        <v>15</v>
      </c>
      <c r="E303" s="18" t="s">
        <v>15</v>
      </c>
      <c r="F303" s="18" t="s">
        <v>15</v>
      </c>
      <c r="G303" s="18" t="s">
        <v>15</v>
      </c>
      <c r="H303" s="18" t="s">
        <v>3365</v>
      </c>
      <c r="I303" s="18" t="s">
        <v>3366</v>
      </c>
      <c r="J303" s="18" t="s">
        <v>3367</v>
      </c>
      <c r="K303" s="18" t="s">
        <v>2943</v>
      </c>
      <c r="L303" s="18" t="s">
        <v>3368</v>
      </c>
      <c r="M303" s="18" t="s">
        <v>15</v>
      </c>
      <c r="N303" s="18" t="s">
        <v>15</v>
      </c>
      <c r="O303" s="18" t="s">
        <v>15</v>
      </c>
      <c r="P303" s="18" t="s">
        <v>15</v>
      </c>
      <c r="Q303" s="18" t="s">
        <v>15</v>
      </c>
      <c r="R303" s="18" t="s">
        <v>3171</v>
      </c>
      <c r="S303" s="18" t="s">
        <v>15</v>
      </c>
    </row>
    <row r="304" spans="1:19" x14ac:dyDescent="0.25">
      <c r="A304" s="17">
        <v>303</v>
      </c>
      <c r="B304" s="18" t="s">
        <v>15</v>
      </c>
      <c r="C304" s="18" t="s">
        <v>15</v>
      </c>
      <c r="D304" s="18" t="s">
        <v>15</v>
      </c>
      <c r="E304" s="18" t="s">
        <v>15</v>
      </c>
      <c r="F304" s="18" t="s">
        <v>15</v>
      </c>
      <c r="G304" s="18" t="s">
        <v>15</v>
      </c>
      <c r="H304" s="18" t="s">
        <v>3369</v>
      </c>
      <c r="I304" s="18" t="s">
        <v>15</v>
      </c>
      <c r="J304" s="18" t="s">
        <v>3370</v>
      </c>
      <c r="K304" s="18" t="s">
        <v>2943</v>
      </c>
      <c r="L304" s="18" t="s">
        <v>3371</v>
      </c>
      <c r="M304" s="18" t="s">
        <v>15</v>
      </c>
      <c r="N304" s="18" t="s">
        <v>15</v>
      </c>
      <c r="O304" s="18" t="s">
        <v>15</v>
      </c>
      <c r="P304" s="18" t="s">
        <v>15</v>
      </c>
      <c r="Q304" s="18" t="s">
        <v>15</v>
      </c>
      <c r="R304" s="18" t="s">
        <v>3171</v>
      </c>
      <c r="S304" s="18" t="s">
        <v>15</v>
      </c>
    </row>
    <row r="305" spans="1:19" x14ac:dyDescent="0.25">
      <c r="A305" s="17">
        <v>304</v>
      </c>
      <c r="B305" s="18" t="s">
        <v>15</v>
      </c>
      <c r="C305" s="18" t="s">
        <v>15</v>
      </c>
      <c r="D305" s="18" t="s">
        <v>15</v>
      </c>
      <c r="E305" s="18" t="s">
        <v>15</v>
      </c>
      <c r="F305" s="18" t="s">
        <v>15</v>
      </c>
      <c r="G305" s="18" t="s">
        <v>15</v>
      </c>
      <c r="H305" s="18" t="s">
        <v>3372</v>
      </c>
      <c r="I305" s="18" t="s">
        <v>15</v>
      </c>
      <c r="J305" s="18" t="s">
        <v>3373</v>
      </c>
      <c r="K305" s="18" t="s">
        <v>2943</v>
      </c>
      <c r="L305" s="18" t="s">
        <v>3374</v>
      </c>
      <c r="M305" s="18" t="s">
        <v>15</v>
      </c>
      <c r="N305" s="18" t="s">
        <v>15</v>
      </c>
      <c r="O305" s="18" t="s">
        <v>15</v>
      </c>
      <c r="P305" s="18" t="s">
        <v>15</v>
      </c>
      <c r="Q305" s="18" t="s">
        <v>15</v>
      </c>
      <c r="R305" s="18" t="s">
        <v>3171</v>
      </c>
      <c r="S305" s="18" t="s">
        <v>15</v>
      </c>
    </row>
    <row r="306" spans="1:19" x14ac:dyDescent="0.25">
      <c r="A306" s="17">
        <v>305</v>
      </c>
      <c r="B306" s="18" t="s">
        <v>15</v>
      </c>
      <c r="C306" s="18" t="s">
        <v>15</v>
      </c>
      <c r="D306" s="18" t="s">
        <v>15</v>
      </c>
      <c r="E306" s="18" t="s">
        <v>15</v>
      </c>
      <c r="F306" s="18" t="s">
        <v>15</v>
      </c>
      <c r="G306" s="18" t="s">
        <v>15</v>
      </c>
      <c r="H306" s="18" t="s">
        <v>3375</v>
      </c>
      <c r="I306" s="18" t="s">
        <v>15</v>
      </c>
      <c r="J306" s="18" t="s">
        <v>2972</v>
      </c>
      <c r="K306" s="18" t="s">
        <v>2943</v>
      </c>
      <c r="L306" s="18" t="s">
        <v>3376</v>
      </c>
      <c r="M306" s="18" t="s">
        <v>15</v>
      </c>
      <c r="N306" s="18" t="s">
        <v>15</v>
      </c>
      <c r="O306" s="18" t="s">
        <v>15</v>
      </c>
      <c r="P306" s="18" t="s">
        <v>15</v>
      </c>
      <c r="Q306" s="18" t="s">
        <v>15</v>
      </c>
      <c r="R306" s="18" t="s">
        <v>3171</v>
      </c>
      <c r="S306" s="18" t="s">
        <v>15</v>
      </c>
    </row>
    <row r="307" spans="1:19" x14ac:dyDescent="0.25">
      <c r="A307" s="17">
        <v>306</v>
      </c>
      <c r="B307" s="18" t="s">
        <v>15</v>
      </c>
      <c r="C307" s="18" t="s">
        <v>15</v>
      </c>
      <c r="D307" s="18" t="s">
        <v>15</v>
      </c>
      <c r="E307" s="18" t="s">
        <v>15</v>
      </c>
      <c r="F307" s="18" t="s">
        <v>15</v>
      </c>
      <c r="G307" s="18" t="s">
        <v>15</v>
      </c>
      <c r="H307" s="18" t="s">
        <v>3377</v>
      </c>
      <c r="I307" s="18" t="s">
        <v>15</v>
      </c>
      <c r="J307" s="18" t="s">
        <v>2843</v>
      </c>
      <c r="K307" s="18" t="s">
        <v>2943</v>
      </c>
      <c r="L307" s="18" t="s">
        <v>3378</v>
      </c>
      <c r="M307" s="18" t="s">
        <v>15</v>
      </c>
      <c r="N307" s="18" t="s">
        <v>15</v>
      </c>
      <c r="O307" s="18" t="s">
        <v>15</v>
      </c>
      <c r="P307" s="18" t="s">
        <v>15</v>
      </c>
      <c r="Q307" s="18" t="s">
        <v>15</v>
      </c>
      <c r="R307" s="18" t="s">
        <v>3171</v>
      </c>
      <c r="S307" s="18" t="s">
        <v>15</v>
      </c>
    </row>
    <row r="308" spans="1:19" x14ac:dyDescent="0.25">
      <c r="A308" s="17">
        <v>307</v>
      </c>
      <c r="B308" s="18" t="s">
        <v>15</v>
      </c>
      <c r="C308" s="18" t="s">
        <v>15</v>
      </c>
      <c r="D308" s="18" t="s">
        <v>15</v>
      </c>
      <c r="E308" s="18" t="s">
        <v>15</v>
      </c>
      <c r="F308" s="18" t="s">
        <v>15</v>
      </c>
      <c r="G308" s="18" t="s">
        <v>3379</v>
      </c>
      <c r="H308" s="18" t="s">
        <v>3380</v>
      </c>
      <c r="I308" s="18" t="s">
        <v>15</v>
      </c>
      <c r="J308" s="18" t="s">
        <v>3050</v>
      </c>
      <c r="K308" s="18" t="s">
        <v>15</v>
      </c>
      <c r="L308" s="18" t="s">
        <v>3381</v>
      </c>
      <c r="M308" s="18" t="s">
        <v>15</v>
      </c>
      <c r="N308" s="18" t="s">
        <v>15</v>
      </c>
      <c r="O308" s="18" t="s">
        <v>3382</v>
      </c>
      <c r="P308" s="18" t="s">
        <v>15</v>
      </c>
      <c r="Q308" s="18" t="s">
        <v>15</v>
      </c>
      <c r="R308" s="18" t="s">
        <v>15</v>
      </c>
      <c r="S308" s="18" t="s">
        <v>15</v>
      </c>
    </row>
    <row r="309" spans="1:19" x14ac:dyDescent="0.25">
      <c r="A309" s="17">
        <v>308</v>
      </c>
      <c r="B309" s="18" t="s">
        <v>15</v>
      </c>
      <c r="C309" s="18" t="s">
        <v>15</v>
      </c>
      <c r="D309" s="18" t="s">
        <v>15</v>
      </c>
      <c r="E309" s="18" t="s">
        <v>15</v>
      </c>
      <c r="F309" s="18" t="s">
        <v>15</v>
      </c>
      <c r="G309" s="18" t="s">
        <v>3383</v>
      </c>
      <c r="H309" s="18" t="s">
        <v>3384</v>
      </c>
      <c r="I309" s="18" t="s">
        <v>15</v>
      </c>
      <c r="J309" s="18" t="s">
        <v>2969</v>
      </c>
      <c r="K309" s="18" t="s">
        <v>2837</v>
      </c>
      <c r="L309" s="18" t="s">
        <v>3385</v>
      </c>
      <c r="M309" s="18" t="s">
        <v>15</v>
      </c>
      <c r="N309" s="18" t="s">
        <v>15</v>
      </c>
      <c r="O309" s="18" t="s">
        <v>15</v>
      </c>
      <c r="P309" s="18" t="s">
        <v>15</v>
      </c>
      <c r="Q309" s="18" t="s">
        <v>15</v>
      </c>
      <c r="R309" s="18" t="s">
        <v>3253</v>
      </c>
      <c r="S309" s="18" t="s">
        <v>15</v>
      </c>
    </row>
    <row r="310" spans="1:19" x14ac:dyDescent="0.25">
      <c r="A310" s="17">
        <v>309</v>
      </c>
      <c r="B310" s="18" t="s">
        <v>15</v>
      </c>
      <c r="C310" s="18" t="s">
        <v>15</v>
      </c>
      <c r="D310" s="18" t="s">
        <v>15</v>
      </c>
      <c r="E310" s="18" t="s">
        <v>15</v>
      </c>
      <c r="F310" s="18" t="s">
        <v>15</v>
      </c>
      <c r="G310" s="18" t="s">
        <v>15</v>
      </c>
      <c r="H310" s="18" t="s">
        <v>3386</v>
      </c>
      <c r="I310" s="18" t="s">
        <v>15</v>
      </c>
      <c r="J310" s="18" t="s">
        <v>15</v>
      </c>
      <c r="K310" s="18" t="s">
        <v>15</v>
      </c>
      <c r="L310" s="18" t="s">
        <v>3387</v>
      </c>
      <c r="M310" s="18" t="s">
        <v>15</v>
      </c>
      <c r="N310" s="18" t="s">
        <v>15</v>
      </c>
      <c r="O310" s="18" t="s">
        <v>15</v>
      </c>
      <c r="P310" s="18" t="s">
        <v>15</v>
      </c>
      <c r="Q310" s="18" t="s">
        <v>15</v>
      </c>
      <c r="R310" s="18" t="s">
        <v>15</v>
      </c>
      <c r="S310" s="18" t="s">
        <v>15</v>
      </c>
    </row>
    <row r="311" spans="1:19" x14ac:dyDescent="0.25">
      <c r="A311" s="17">
        <v>310</v>
      </c>
      <c r="B311" s="18" t="s">
        <v>15</v>
      </c>
      <c r="C311" s="18" t="s">
        <v>15</v>
      </c>
      <c r="D311" s="18" t="s">
        <v>15</v>
      </c>
      <c r="E311" s="18" t="s">
        <v>15</v>
      </c>
      <c r="F311" s="18" t="s">
        <v>15</v>
      </c>
      <c r="G311" s="18" t="s">
        <v>15</v>
      </c>
      <c r="H311" s="18" t="s">
        <v>3388</v>
      </c>
      <c r="I311" s="18" t="s">
        <v>15</v>
      </c>
      <c r="J311" s="18" t="s">
        <v>15</v>
      </c>
      <c r="K311" s="18" t="s">
        <v>15</v>
      </c>
      <c r="L311" s="18" t="s">
        <v>3389</v>
      </c>
      <c r="M311" s="18" t="s">
        <v>15</v>
      </c>
      <c r="N311" s="18" t="s">
        <v>15</v>
      </c>
      <c r="O311" s="18" t="s">
        <v>15</v>
      </c>
      <c r="P311" s="18" t="s">
        <v>15</v>
      </c>
      <c r="Q311" s="18" t="s">
        <v>15</v>
      </c>
      <c r="R311" s="18" t="s">
        <v>15</v>
      </c>
      <c r="S311" s="18" t="s">
        <v>15</v>
      </c>
    </row>
    <row r="312" spans="1:19" x14ac:dyDescent="0.25">
      <c r="A312" s="17">
        <v>311</v>
      </c>
      <c r="B312" s="18" t="s">
        <v>15</v>
      </c>
      <c r="C312" s="18" t="s">
        <v>15</v>
      </c>
      <c r="D312" s="18" t="s">
        <v>15</v>
      </c>
      <c r="E312" s="18" t="s">
        <v>15</v>
      </c>
      <c r="F312" s="18" t="s">
        <v>15</v>
      </c>
      <c r="G312" s="18" t="s">
        <v>15</v>
      </c>
      <c r="H312" s="18" t="s">
        <v>3390</v>
      </c>
      <c r="I312" s="18" t="s">
        <v>15</v>
      </c>
      <c r="J312" s="18" t="s">
        <v>15</v>
      </c>
      <c r="K312" s="18" t="s">
        <v>15</v>
      </c>
      <c r="L312" s="18" t="s">
        <v>3391</v>
      </c>
      <c r="M312" s="18" t="s">
        <v>15</v>
      </c>
      <c r="N312" s="18" t="s">
        <v>15</v>
      </c>
      <c r="O312" s="18" t="s">
        <v>15</v>
      </c>
      <c r="P312" s="18" t="s">
        <v>15</v>
      </c>
      <c r="Q312" s="18" t="s">
        <v>15</v>
      </c>
      <c r="R312" s="18" t="s">
        <v>15</v>
      </c>
      <c r="S312" s="18" t="s">
        <v>15</v>
      </c>
    </row>
    <row r="313" spans="1:19" x14ac:dyDescent="0.25">
      <c r="A313" s="17">
        <v>312</v>
      </c>
      <c r="B313" s="18" t="s">
        <v>15</v>
      </c>
      <c r="C313" s="18" t="s">
        <v>15</v>
      </c>
      <c r="D313" s="18" t="s">
        <v>15</v>
      </c>
      <c r="E313" s="18" t="s">
        <v>15</v>
      </c>
      <c r="F313" s="18" t="s">
        <v>15</v>
      </c>
      <c r="G313" s="18" t="s">
        <v>15</v>
      </c>
      <c r="H313" s="18" t="s">
        <v>3392</v>
      </c>
      <c r="I313" s="18" t="s">
        <v>15</v>
      </c>
      <c r="J313" s="18" t="s">
        <v>3393</v>
      </c>
      <c r="K313" s="18" t="s">
        <v>15</v>
      </c>
      <c r="L313" s="18" t="s">
        <v>3394</v>
      </c>
      <c r="M313" s="18" t="s">
        <v>15</v>
      </c>
      <c r="N313" s="18" t="s">
        <v>15</v>
      </c>
      <c r="O313" s="18" t="s">
        <v>3382</v>
      </c>
      <c r="P313" s="18" t="s">
        <v>15</v>
      </c>
      <c r="Q313" s="18" t="s">
        <v>15</v>
      </c>
      <c r="R313" s="18" t="s">
        <v>15</v>
      </c>
      <c r="S313" s="18" t="s">
        <v>15</v>
      </c>
    </row>
    <row r="314" spans="1:19" x14ac:dyDescent="0.25">
      <c r="A314" s="17">
        <v>313</v>
      </c>
      <c r="B314" s="18" t="s">
        <v>15</v>
      </c>
      <c r="C314" s="18" t="s">
        <v>15</v>
      </c>
      <c r="D314" s="18" t="s">
        <v>15</v>
      </c>
      <c r="E314" s="18" t="s">
        <v>15</v>
      </c>
      <c r="F314" s="18" t="s">
        <v>15</v>
      </c>
      <c r="G314" s="18" t="s">
        <v>15</v>
      </c>
      <c r="H314" s="18" t="s">
        <v>3395</v>
      </c>
      <c r="I314" s="18" t="s">
        <v>15</v>
      </c>
      <c r="J314" s="18" t="s">
        <v>15</v>
      </c>
      <c r="K314" s="18" t="s">
        <v>15</v>
      </c>
      <c r="L314" s="18" t="s">
        <v>3396</v>
      </c>
      <c r="M314" s="18" t="s">
        <v>15</v>
      </c>
      <c r="N314" s="18" t="s">
        <v>15</v>
      </c>
      <c r="O314" s="18" t="s">
        <v>15</v>
      </c>
      <c r="P314" s="18" t="s">
        <v>15</v>
      </c>
      <c r="Q314" s="18" t="s">
        <v>15</v>
      </c>
      <c r="R314" s="18" t="s">
        <v>15</v>
      </c>
      <c r="S314" s="18" t="s">
        <v>15</v>
      </c>
    </row>
    <row r="315" spans="1:19" x14ac:dyDescent="0.25">
      <c r="A315" s="17">
        <v>314</v>
      </c>
      <c r="B315" s="18" t="s">
        <v>15</v>
      </c>
      <c r="C315" s="18" t="s">
        <v>15</v>
      </c>
      <c r="D315" s="18" t="s">
        <v>15</v>
      </c>
      <c r="E315" s="18" t="s">
        <v>15</v>
      </c>
      <c r="F315" s="18" t="s">
        <v>15</v>
      </c>
      <c r="G315" s="18" t="s">
        <v>15</v>
      </c>
      <c r="H315" s="18" t="s">
        <v>3397</v>
      </c>
      <c r="I315" s="18" t="s">
        <v>15</v>
      </c>
      <c r="J315" s="18" t="s">
        <v>3240</v>
      </c>
      <c r="K315" s="18" t="s">
        <v>2943</v>
      </c>
      <c r="L315" s="18" t="s">
        <v>3398</v>
      </c>
      <c r="M315" s="18" t="s">
        <v>15</v>
      </c>
      <c r="N315" s="18" t="s">
        <v>15</v>
      </c>
      <c r="O315" s="18" t="s">
        <v>15</v>
      </c>
      <c r="P315" s="18" t="s">
        <v>15</v>
      </c>
      <c r="Q315" s="18" t="s">
        <v>15</v>
      </c>
      <c r="R315" s="18" t="s">
        <v>15</v>
      </c>
      <c r="S315" s="18" t="s">
        <v>15</v>
      </c>
    </row>
    <row r="316" spans="1:19" x14ac:dyDescent="0.25">
      <c r="A316" s="17">
        <v>315</v>
      </c>
      <c r="B316" s="18" t="s">
        <v>15</v>
      </c>
      <c r="C316" s="18" t="s">
        <v>15</v>
      </c>
      <c r="D316" s="18" t="s">
        <v>15</v>
      </c>
      <c r="E316" s="18" t="s">
        <v>15</v>
      </c>
      <c r="F316" s="18" t="s">
        <v>15</v>
      </c>
      <c r="G316" s="18" t="s">
        <v>3238</v>
      </c>
      <c r="H316" s="18" t="s">
        <v>3399</v>
      </c>
      <c r="I316" s="18" t="s">
        <v>15</v>
      </c>
      <c r="J316" s="18" t="s">
        <v>3075</v>
      </c>
      <c r="K316" s="18" t="s">
        <v>2837</v>
      </c>
      <c r="L316" s="18" t="s">
        <v>3400</v>
      </c>
      <c r="M316" s="18" t="s">
        <v>15</v>
      </c>
      <c r="N316" s="18" t="s">
        <v>15</v>
      </c>
      <c r="O316" s="18" t="s">
        <v>15</v>
      </c>
      <c r="P316" s="18" t="s">
        <v>15</v>
      </c>
      <c r="Q316" s="18" t="s">
        <v>15</v>
      </c>
      <c r="R316" s="18" t="s">
        <v>3253</v>
      </c>
      <c r="S316" s="18" t="s">
        <v>15</v>
      </c>
    </row>
    <row r="317" spans="1:19" x14ac:dyDescent="0.25">
      <c r="A317" s="17">
        <v>316</v>
      </c>
      <c r="B317" s="18" t="s">
        <v>15</v>
      </c>
      <c r="C317" s="18" t="s">
        <v>15</v>
      </c>
      <c r="D317" s="18" t="s">
        <v>15</v>
      </c>
      <c r="E317" s="18" t="s">
        <v>15</v>
      </c>
      <c r="F317" s="18" t="s">
        <v>15</v>
      </c>
      <c r="G317" s="18" t="s">
        <v>15</v>
      </c>
      <c r="H317" s="18" t="s">
        <v>3401</v>
      </c>
      <c r="I317" s="18" t="s">
        <v>15</v>
      </c>
      <c r="J317" s="18" t="s">
        <v>3240</v>
      </c>
      <c r="K317" s="18" t="s">
        <v>15</v>
      </c>
      <c r="L317" s="18" t="s">
        <v>3402</v>
      </c>
      <c r="M317" s="18" t="s">
        <v>15</v>
      </c>
      <c r="N317" s="18" t="s">
        <v>15</v>
      </c>
      <c r="O317" s="18" t="s">
        <v>15</v>
      </c>
      <c r="P317" s="18" t="s">
        <v>15</v>
      </c>
      <c r="Q317" s="18" t="s">
        <v>15</v>
      </c>
      <c r="R317" s="18" t="s">
        <v>15</v>
      </c>
      <c r="S317" s="18" t="s">
        <v>15</v>
      </c>
    </row>
    <row r="318" spans="1:19" x14ac:dyDescent="0.25">
      <c r="A318" s="17">
        <v>317</v>
      </c>
      <c r="B318" s="18" t="s">
        <v>15</v>
      </c>
      <c r="C318" s="18" t="s">
        <v>15</v>
      </c>
      <c r="D318" s="18" t="s">
        <v>15</v>
      </c>
      <c r="E318" s="18" t="s">
        <v>15</v>
      </c>
      <c r="F318" s="18" t="s">
        <v>15</v>
      </c>
      <c r="G318" s="18" t="s">
        <v>15</v>
      </c>
      <c r="H318" s="18" t="s">
        <v>3403</v>
      </c>
      <c r="I318" s="18" t="s">
        <v>15</v>
      </c>
      <c r="J318" s="18" t="s">
        <v>15</v>
      </c>
      <c r="K318" s="18" t="s">
        <v>15</v>
      </c>
      <c r="L318" s="18" t="s">
        <v>3404</v>
      </c>
      <c r="M318" s="18" t="s">
        <v>15</v>
      </c>
      <c r="N318" s="18" t="s">
        <v>15</v>
      </c>
      <c r="O318" s="18" t="s">
        <v>15</v>
      </c>
      <c r="P318" s="18" t="s">
        <v>15</v>
      </c>
      <c r="Q318" s="18" t="s">
        <v>15</v>
      </c>
      <c r="R318" s="18" t="s">
        <v>15</v>
      </c>
      <c r="S318" s="18" t="s">
        <v>15</v>
      </c>
    </row>
    <row r="319" spans="1:19" x14ac:dyDescent="0.25">
      <c r="A319" s="17">
        <v>318</v>
      </c>
      <c r="B319" s="18" t="s">
        <v>15</v>
      </c>
      <c r="C319" s="18" t="s">
        <v>15</v>
      </c>
      <c r="D319" s="18" t="s">
        <v>15</v>
      </c>
      <c r="E319" s="18" t="s">
        <v>15</v>
      </c>
      <c r="F319" s="18" t="s">
        <v>15</v>
      </c>
      <c r="G319" s="18" t="s">
        <v>15</v>
      </c>
      <c r="H319" s="18" t="s">
        <v>3405</v>
      </c>
      <c r="I319" s="18" t="s">
        <v>15</v>
      </c>
      <c r="J319" s="18" t="s">
        <v>3240</v>
      </c>
      <c r="K319" s="18" t="s">
        <v>15</v>
      </c>
      <c r="L319" s="18" t="s">
        <v>3406</v>
      </c>
      <c r="M319" s="18" t="s">
        <v>15</v>
      </c>
      <c r="N319" s="18" t="s">
        <v>15</v>
      </c>
      <c r="O319" s="18" t="s">
        <v>15</v>
      </c>
      <c r="P319" s="18" t="s">
        <v>15</v>
      </c>
      <c r="Q319" s="18" t="s">
        <v>15</v>
      </c>
      <c r="R319" s="18" t="s">
        <v>15</v>
      </c>
      <c r="S319" s="18" t="s">
        <v>15</v>
      </c>
    </row>
    <row r="320" spans="1:19" x14ac:dyDescent="0.25">
      <c r="A320" s="17">
        <v>319</v>
      </c>
      <c r="B320" s="18" t="s">
        <v>15</v>
      </c>
      <c r="C320" s="18" t="s">
        <v>15</v>
      </c>
      <c r="D320" s="18" t="s">
        <v>15</v>
      </c>
      <c r="E320" s="18" t="s">
        <v>15</v>
      </c>
      <c r="F320" s="18" t="s">
        <v>15</v>
      </c>
      <c r="G320" s="18" t="s">
        <v>15</v>
      </c>
      <c r="H320" s="18" t="s">
        <v>3407</v>
      </c>
      <c r="I320" s="18" t="s">
        <v>15</v>
      </c>
      <c r="J320" s="18" t="s">
        <v>15</v>
      </c>
      <c r="K320" s="18" t="s">
        <v>15</v>
      </c>
      <c r="L320" s="18" t="s">
        <v>3408</v>
      </c>
      <c r="M320" s="18" t="s">
        <v>15</v>
      </c>
      <c r="N320" s="18" t="s">
        <v>15</v>
      </c>
      <c r="O320" s="18" t="s">
        <v>3170</v>
      </c>
      <c r="P320" s="18" t="s">
        <v>15</v>
      </c>
      <c r="Q320" s="18" t="s">
        <v>15</v>
      </c>
      <c r="R320" s="18" t="s">
        <v>15</v>
      </c>
      <c r="S320" s="18" t="s">
        <v>15</v>
      </c>
    </row>
    <row r="321" spans="1:19" x14ac:dyDescent="0.25">
      <c r="A321" s="17">
        <v>320</v>
      </c>
      <c r="B321" s="18" t="s">
        <v>15</v>
      </c>
      <c r="C321" s="18" t="s">
        <v>15</v>
      </c>
      <c r="D321" s="18" t="s">
        <v>15</v>
      </c>
      <c r="E321" s="18" t="s">
        <v>15</v>
      </c>
      <c r="F321" s="18" t="s">
        <v>15</v>
      </c>
      <c r="G321" s="18" t="s">
        <v>3329</v>
      </c>
      <c r="H321" s="18" t="s">
        <v>3409</v>
      </c>
      <c r="I321" s="18" t="s">
        <v>3331</v>
      </c>
      <c r="J321" s="18" t="s">
        <v>15</v>
      </c>
      <c r="K321" s="18" t="s">
        <v>15</v>
      </c>
      <c r="L321" s="18" t="s">
        <v>3410</v>
      </c>
      <c r="M321" s="18" t="s">
        <v>15</v>
      </c>
      <c r="N321" s="18" t="s">
        <v>15</v>
      </c>
      <c r="O321" s="18" t="s">
        <v>3331</v>
      </c>
      <c r="P321" s="18" t="s">
        <v>15</v>
      </c>
      <c r="Q321" s="18" t="s">
        <v>15</v>
      </c>
      <c r="R321" s="18" t="s">
        <v>15</v>
      </c>
      <c r="S321" s="18" t="s">
        <v>15</v>
      </c>
    </row>
    <row r="322" spans="1:19" x14ac:dyDescent="0.25">
      <c r="A322" s="17">
        <v>321</v>
      </c>
      <c r="B322" s="18" t="s">
        <v>15</v>
      </c>
      <c r="C322" s="18" t="s">
        <v>15</v>
      </c>
      <c r="D322" s="18" t="s">
        <v>15</v>
      </c>
      <c r="E322" s="18" t="s">
        <v>3411</v>
      </c>
      <c r="F322" s="18" t="s">
        <v>15</v>
      </c>
      <c r="G322" s="18" t="s">
        <v>15</v>
      </c>
      <c r="H322" s="18" t="s">
        <v>15</v>
      </c>
      <c r="I322" s="18" t="s">
        <v>3412</v>
      </c>
      <c r="J322" s="18" t="s">
        <v>3043</v>
      </c>
      <c r="K322" s="18" t="s">
        <v>2837</v>
      </c>
      <c r="L322" s="18" t="s">
        <v>3413</v>
      </c>
      <c r="M322" s="18" t="s">
        <v>15</v>
      </c>
      <c r="N322" s="18" t="s">
        <v>15</v>
      </c>
      <c r="O322" s="18" t="s">
        <v>3266</v>
      </c>
      <c r="P322" s="18" t="s">
        <v>15</v>
      </c>
      <c r="Q322" s="18" t="s">
        <v>15</v>
      </c>
      <c r="R322" s="18" t="s">
        <v>3202</v>
      </c>
      <c r="S322" s="18" t="s">
        <v>15</v>
      </c>
    </row>
    <row r="323" spans="1:19" x14ac:dyDescent="0.25">
      <c r="A323" s="17">
        <v>322</v>
      </c>
      <c r="B323" s="18" t="s">
        <v>15</v>
      </c>
      <c r="C323" s="18" t="s">
        <v>15</v>
      </c>
      <c r="D323" s="18" t="s">
        <v>15</v>
      </c>
      <c r="E323" s="18" t="s">
        <v>3414</v>
      </c>
      <c r="F323" s="18" t="s">
        <v>15</v>
      </c>
      <c r="G323" s="18" t="s">
        <v>15</v>
      </c>
      <c r="H323" s="18" t="s">
        <v>15</v>
      </c>
      <c r="I323" s="18" t="s">
        <v>15</v>
      </c>
      <c r="J323" s="18" t="s">
        <v>3353</v>
      </c>
      <c r="K323" s="18" t="s">
        <v>2837</v>
      </c>
      <c r="L323" s="18" t="s">
        <v>3415</v>
      </c>
      <c r="M323" s="18" t="s">
        <v>15</v>
      </c>
      <c r="N323" s="18" t="s">
        <v>15</v>
      </c>
      <c r="O323" s="18" t="s">
        <v>3266</v>
      </c>
      <c r="P323" s="18" t="s">
        <v>15</v>
      </c>
      <c r="Q323" s="18" t="s">
        <v>15</v>
      </c>
      <c r="R323" s="18" t="s">
        <v>3416</v>
      </c>
      <c r="S323" s="18" t="s">
        <v>15</v>
      </c>
    </row>
    <row r="324" spans="1:19" x14ac:dyDescent="0.25">
      <c r="A324" s="17">
        <v>323</v>
      </c>
      <c r="B324" s="18" t="s">
        <v>15</v>
      </c>
      <c r="C324" s="18" t="s">
        <v>15</v>
      </c>
      <c r="D324" s="18" t="s">
        <v>15</v>
      </c>
      <c r="E324" s="18" t="s">
        <v>3414</v>
      </c>
      <c r="F324" s="18" t="s">
        <v>15</v>
      </c>
      <c r="G324" s="18" t="s">
        <v>15</v>
      </c>
      <c r="H324" s="18" t="s">
        <v>15</v>
      </c>
      <c r="I324" s="18" t="s">
        <v>15</v>
      </c>
      <c r="J324" s="18" t="s">
        <v>3196</v>
      </c>
      <c r="K324" s="18" t="s">
        <v>2837</v>
      </c>
      <c r="L324" s="18" t="s">
        <v>3417</v>
      </c>
      <c r="M324" s="18" t="s">
        <v>15</v>
      </c>
      <c r="N324" s="18" t="s">
        <v>15</v>
      </c>
      <c r="O324" s="18" t="s">
        <v>3266</v>
      </c>
      <c r="P324" s="18" t="s">
        <v>15</v>
      </c>
      <c r="Q324" s="18" t="s">
        <v>15</v>
      </c>
      <c r="R324" s="18" t="s">
        <v>3416</v>
      </c>
      <c r="S324" s="18" t="s">
        <v>15</v>
      </c>
    </row>
    <row r="325" spans="1:19" x14ac:dyDescent="0.25">
      <c r="A325" s="17">
        <v>324</v>
      </c>
      <c r="B325" s="18" t="s">
        <v>15</v>
      </c>
      <c r="C325" s="18" t="s">
        <v>15</v>
      </c>
      <c r="D325" s="18" t="s">
        <v>15</v>
      </c>
      <c r="E325" s="18" t="s">
        <v>15</v>
      </c>
      <c r="F325" s="18" t="s">
        <v>15</v>
      </c>
      <c r="G325" s="18" t="s">
        <v>2846</v>
      </c>
      <c r="H325" s="18" t="s">
        <v>3218</v>
      </c>
      <c r="I325" s="18" t="s">
        <v>15</v>
      </c>
      <c r="J325" s="18" t="s">
        <v>2882</v>
      </c>
      <c r="K325" s="18" t="s">
        <v>15</v>
      </c>
      <c r="L325" s="18" t="s">
        <v>3418</v>
      </c>
      <c r="M325" s="18" t="s">
        <v>15</v>
      </c>
      <c r="N325" s="18" t="s">
        <v>15</v>
      </c>
      <c r="O325" s="18" t="s">
        <v>3358</v>
      </c>
      <c r="P325" s="18" t="s">
        <v>15</v>
      </c>
      <c r="Q325" s="18" t="s">
        <v>15</v>
      </c>
      <c r="R325" s="18" t="s">
        <v>15</v>
      </c>
      <c r="S325" s="18" t="s">
        <v>15</v>
      </c>
    </row>
    <row r="326" spans="1:19" x14ac:dyDescent="0.25">
      <c r="A326" s="17">
        <v>325</v>
      </c>
      <c r="B326" s="18" t="s">
        <v>15</v>
      </c>
      <c r="C326" s="18" t="s">
        <v>15</v>
      </c>
      <c r="D326" s="18" t="s">
        <v>15</v>
      </c>
      <c r="E326" s="18" t="s">
        <v>15</v>
      </c>
      <c r="F326" s="18" t="s">
        <v>15</v>
      </c>
      <c r="G326" s="18" t="s">
        <v>3238</v>
      </c>
      <c r="H326" s="18" t="s">
        <v>3419</v>
      </c>
      <c r="I326" s="18" t="s">
        <v>15</v>
      </c>
      <c r="J326" s="18" t="s">
        <v>2868</v>
      </c>
      <c r="K326" s="18" t="s">
        <v>2837</v>
      </c>
      <c r="L326" s="18" t="s">
        <v>3420</v>
      </c>
      <c r="M326" s="18" t="s">
        <v>15</v>
      </c>
      <c r="N326" s="18" t="s">
        <v>15</v>
      </c>
      <c r="O326" s="18" t="s">
        <v>15</v>
      </c>
      <c r="P326" s="18" t="s">
        <v>15</v>
      </c>
      <c r="Q326" s="18" t="s">
        <v>15</v>
      </c>
      <c r="R326" s="18" t="s">
        <v>3202</v>
      </c>
      <c r="S326" s="18" t="s">
        <v>15</v>
      </c>
    </row>
    <row r="327" spans="1:19" x14ac:dyDescent="0.25">
      <c r="A327" s="17">
        <v>326</v>
      </c>
      <c r="B327" s="18" t="s">
        <v>15</v>
      </c>
      <c r="C327" s="18" t="s">
        <v>15</v>
      </c>
      <c r="D327" s="18" t="s">
        <v>15</v>
      </c>
      <c r="E327" s="18" t="s">
        <v>15</v>
      </c>
      <c r="F327" s="18" t="s">
        <v>15</v>
      </c>
      <c r="G327" s="18" t="s">
        <v>15</v>
      </c>
      <c r="H327" s="18" t="s">
        <v>3421</v>
      </c>
      <c r="I327" s="18" t="s">
        <v>15</v>
      </c>
      <c r="J327" s="18" t="s">
        <v>2903</v>
      </c>
      <c r="K327" s="18" t="s">
        <v>15</v>
      </c>
      <c r="L327" s="18" t="s">
        <v>3422</v>
      </c>
      <c r="M327" s="18" t="s">
        <v>15</v>
      </c>
      <c r="N327" s="18" t="s">
        <v>15</v>
      </c>
      <c r="O327" s="18" t="s">
        <v>15</v>
      </c>
      <c r="P327" s="18" t="s">
        <v>15</v>
      </c>
      <c r="Q327" s="18" t="s">
        <v>15</v>
      </c>
      <c r="R327" s="18" t="s">
        <v>15</v>
      </c>
      <c r="S327" s="18" t="s">
        <v>15</v>
      </c>
    </row>
    <row r="328" spans="1:19" x14ac:dyDescent="0.25">
      <c r="A328" s="17">
        <v>327</v>
      </c>
      <c r="B328" s="18" t="s">
        <v>15</v>
      </c>
      <c r="C328" s="18" t="s">
        <v>15</v>
      </c>
      <c r="D328" s="18" t="s">
        <v>15</v>
      </c>
      <c r="E328" s="18" t="s">
        <v>15</v>
      </c>
      <c r="F328" s="18" t="s">
        <v>15</v>
      </c>
      <c r="G328" s="18" t="s">
        <v>3423</v>
      </c>
      <c r="H328" s="18" t="s">
        <v>3424</v>
      </c>
      <c r="I328" s="18" t="s">
        <v>3425</v>
      </c>
      <c r="J328" s="18" t="s">
        <v>3426</v>
      </c>
      <c r="K328" s="18" t="s">
        <v>15</v>
      </c>
      <c r="L328" s="18" t="s">
        <v>3427</v>
      </c>
      <c r="M328" s="18" t="s">
        <v>15</v>
      </c>
      <c r="N328" s="18" t="s">
        <v>15</v>
      </c>
      <c r="O328" s="18" t="s">
        <v>3428</v>
      </c>
      <c r="P328" s="18" t="s">
        <v>15</v>
      </c>
      <c r="Q328" s="18" t="s">
        <v>15</v>
      </c>
      <c r="R328" s="18" t="s">
        <v>15</v>
      </c>
      <c r="S328" s="18" t="s">
        <v>15</v>
      </c>
    </row>
    <row r="329" spans="1:19" x14ac:dyDescent="0.25">
      <c r="A329" s="17">
        <v>328</v>
      </c>
      <c r="B329" s="18" t="s">
        <v>15</v>
      </c>
      <c r="C329" s="18" t="s">
        <v>15</v>
      </c>
      <c r="D329" s="18" t="s">
        <v>15</v>
      </c>
      <c r="E329" s="18" t="s">
        <v>15</v>
      </c>
      <c r="F329" s="18" t="s">
        <v>15</v>
      </c>
      <c r="G329" s="18" t="s">
        <v>3238</v>
      </c>
      <c r="H329" s="18" t="s">
        <v>3429</v>
      </c>
      <c r="I329" s="18" t="s">
        <v>15</v>
      </c>
      <c r="J329" s="18" t="s">
        <v>2942</v>
      </c>
      <c r="K329" s="18" t="s">
        <v>2943</v>
      </c>
      <c r="L329" s="18" t="s">
        <v>3430</v>
      </c>
      <c r="M329" s="18" t="s">
        <v>15</v>
      </c>
      <c r="N329" s="18" t="s">
        <v>15</v>
      </c>
      <c r="O329" s="18" t="s">
        <v>15</v>
      </c>
      <c r="P329" s="18" t="s">
        <v>15</v>
      </c>
      <c r="Q329" s="18" t="s">
        <v>15</v>
      </c>
      <c r="R329" s="18" t="s">
        <v>3431</v>
      </c>
      <c r="S329" s="18" t="s">
        <v>15</v>
      </c>
    </row>
    <row r="330" spans="1:19" x14ac:dyDescent="0.25">
      <c r="A330" s="17">
        <v>329</v>
      </c>
      <c r="B330" s="18" t="s">
        <v>15</v>
      </c>
      <c r="C330" s="18" t="s">
        <v>15</v>
      </c>
      <c r="D330" s="18" t="s">
        <v>15</v>
      </c>
      <c r="E330" s="18" t="s">
        <v>15</v>
      </c>
      <c r="F330" s="18" t="s">
        <v>15</v>
      </c>
      <c r="G330" s="18" t="s">
        <v>15</v>
      </c>
      <c r="H330" s="18" t="s">
        <v>3432</v>
      </c>
      <c r="I330" s="18" t="s">
        <v>15</v>
      </c>
      <c r="J330" s="18" t="s">
        <v>3071</v>
      </c>
      <c r="K330" s="18" t="s">
        <v>2837</v>
      </c>
      <c r="L330" s="18" t="s">
        <v>3433</v>
      </c>
      <c r="M330" s="18" t="s">
        <v>15</v>
      </c>
      <c r="N330" s="18" t="s">
        <v>15</v>
      </c>
      <c r="O330" s="18" t="s">
        <v>15</v>
      </c>
      <c r="P330" s="18" t="s">
        <v>15</v>
      </c>
      <c r="Q330" s="18" t="s">
        <v>15</v>
      </c>
      <c r="R330" s="18" t="s">
        <v>3434</v>
      </c>
      <c r="S330" s="18" t="s">
        <v>15</v>
      </c>
    </row>
    <row r="331" spans="1:19" x14ac:dyDescent="0.25">
      <c r="A331" s="17">
        <v>330</v>
      </c>
      <c r="B331" s="18" t="s">
        <v>15</v>
      </c>
      <c r="C331" s="18" t="s">
        <v>15</v>
      </c>
      <c r="D331" s="18" t="s">
        <v>15</v>
      </c>
      <c r="E331" s="18" t="s">
        <v>15</v>
      </c>
      <c r="F331" s="18" t="s">
        <v>15</v>
      </c>
      <c r="G331" s="18" t="s">
        <v>3423</v>
      </c>
      <c r="H331" s="18" t="s">
        <v>3435</v>
      </c>
      <c r="I331" s="18" t="s">
        <v>15</v>
      </c>
      <c r="J331" s="18" t="s">
        <v>2956</v>
      </c>
      <c r="K331" s="18" t="s">
        <v>2837</v>
      </c>
      <c r="L331" s="18" t="s">
        <v>3436</v>
      </c>
      <c r="M331" s="18" t="s">
        <v>15</v>
      </c>
      <c r="N331" s="18" t="s">
        <v>15</v>
      </c>
      <c r="O331" s="18" t="s">
        <v>15</v>
      </c>
      <c r="P331" s="18" t="s">
        <v>15</v>
      </c>
      <c r="Q331" s="18" t="s">
        <v>15</v>
      </c>
      <c r="R331" s="18" t="s">
        <v>3202</v>
      </c>
      <c r="S331" s="18" t="s">
        <v>15</v>
      </c>
    </row>
    <row r="332" spans="1:19" x14ac:dyDescent="0.25">
      <c r="A332" s="17">
        <v>331</v>
      </c>
      <c r="B332" s="18" t="s">
        <v>15</v>
      </c>
      <c r="C332" s="18" t="s">
        <v>15</v>
      </c>
      <c r="D332" s="18" t="s">
        <v>15</v>
      </c>
      <c r="E332" s="18" t="s">
        <v>15</v>
      </c>
      <c r="F332" s="18" t="s">
        <v>15</v>
      </c>
      <c r="G332" s="18" t="s">
        <v>3238</v>
      </c>
      <c r="H332" s="18" t="s">
        <v>3437</v>
      </c>
      <c r="I332" s="18" t="s">
        <v>15</v>
      </c>
      <c r="J332" s="18" t="s">
        <v>3438</v>
      </c>
      <c r="K332" s="18" t="s">
        <v>2943</v>
      </c>
      <c r="L332" s="18" t="s">
        <v>3439</v>
      </c>
      <c r="M332" s="18" t="s">
        <v>15</v>
      </c>
      <c r="N332" s="18" t="s">
        <v>15</v>
      </c>
      <c r="O332" s="18" t="s">
        <v>15</v>
      </c>
      <c r="P332" s="18" t="s">
        <v>15</v>
      </c>
      <c r="Q332" s="18" t="s">
        <v>15</v>
      </c>
      <c r="R332" s="18" t="s">
        <v>3202</v>
      </c>
      <c r="S332" s="18" t="s">
        <v>15</v>
      </c>
    </row>
    <row r="333" spans="1:19" x14ac:dyDescent="0.25">
      <c r="A333" s="17">
        <v>332</v>
      </c>
      <c r="B333" s="18" t="s">
        <v>15</v>
      </c>
      <c r="C333" s="18" t="s">
        <v>15</v>
      </c>
      <c r="D333" s="18" t="s">
        <v>15</v>
      </c>
      <c r="E333" s="18" t="s">
        <v>15</v>
      </c>
      <c r="F333" s="18" t="s">
        <v>15</v>
      </c>
      <c r="G333" s="18" t="s">
        <v>3238</v>
      </c>
      <c r="H333" s="18" t="s">
        <v>3440</v>
      </c>
      <c r="I333" s="18" t="s">
        <v>15</v>
      </c>
      <c r="J333" s="18" t="s">
        <v>2868</v>
      </c>
      <c r="K333" s="18" t="s">
        <v>2837</v>
      </c>
      <c r="L333" s="18" t="s">
        <v>3441</v>
      </c>
      <c r="M333" s="18" t="s">
        <v>15</v>
      </c>
      <c r="N333" s="18" t="s">
        <v>15</v>
      </c>
      <c r="O333" s="18" t="s">
        <v>15</v>
      </c>
      <c r="P333" s="18" t="s">
        <v>15</v>
      </c>
      <c r="Q333" s="18" t="s">
        <v>15</v>
      </c>
      <c r="R333" s="18" t="s">
        <v>3202</v>
      </c>
      <c r="S333" s="18" t="s">
        <v>15</v>
      </c>
    </row>
    <row r="334" spans="1:19" x14ac:dyDescent="0.25">
      <c r="A334" s="17">
        <v>333</v>
      </c>
      <c r="B334" s="18" t="s">
        <v>15</v>
      </c>
      <c r="C334" s="18" t="s">
        <v>15</v>
      </c>
      <c r="D334" s="18" t="s">
        <v>15</v>
      </c>
      <c r="E334" s="18" t="s">
        <v>15</v>
      </c>
      <c r="F334" s="18" t="s">
        <v>15</v>
      </c>
      <c r="G334" s="18" t="s">
        <v>623</v>
      </c>
      <c r="H334" s="18" t="s">
        <v>3442</v>
      </c>
      <c r="I334" s="18" t="s">
        <v>3443</v>
      </c>
      <c r="J334" s="18" t="s">
        <v>3444</v>
      </c>
      <c r="K334" s="18" t="s">
        <v>2837</v>
      </c>
      <c r="L334" s="18" t="s">
        <v>3445</v>
      </c>
      <c r="M334" s="18" t="s">
        <v>15</v>
      </c>
      <c r="N334" s="18" t="s">
        <v>15</v>
      </c>
      <c r="O334" s="18" t="s">
        <v>15</v>
      </c>
      <c r="P334" s="18" t="s">
        <v>1971</v>
      </c>
      <c r="Q334" s="18" t="s">
        <v>3446</v>
      </c>
      <c r="R334" s="18" t="s">
        <v>2839</v>
      </c>
      <c r="S334" s="18" t="s">
        <v>15</v>
      </c>
    </row>
    <row r="335" spans="1:19" x14ac:dyDescent="0.25">
      <c r="A335" s="17">
        <v>334</v>
      </c>
      <c r="B335" s="18" t="s">
        <v>15</v>
      </c>
      <c r="C335" s="18" t="s">
        <v>15</v>
      </c>
      <c r="D335" s="18" t="s">
        <v>15</v>
      </c>
      <c r="E335" s="18" t="s">
        <v>15</v>
      </c>
      <c r="F335" s="18" t="s">
        <v>15</v>
      </c>
      <c r="G335" s="18" t="s">
        <v>15</v>
      </c>
      <c r="H335" s="18" t="s">
        <v>3447</v>
      </c>
      <c r="I335" s="18" t="s">
        <v>15</v>
      </c>
      <c r="J335" s="18" t="s">
        <v>15</v>
      </c>
      <c r="K335" s="18" t="s">
        <v>15</v>
      </c>
      <c r="L335" s="18" t="s">
        <v>3448</v>
      </c>
      <c r="M335" s="18" t="s">
        <v>15</v>
      </c>
      <c r="N335" s="18" t="s">
        <v>15</v>
      </c>
      <c r="O335" s="18" t="s">
        <v>15</v>
      </c>
      <c r="P335" s="18" t="s">
        <v>15</v>
      </c>
      <c r="Q335" s="18" t="s">
        <v>15</v>
      </c>
      <c r="R335" s="18" t="s">
        <v>15</v>
      </c>
      <c r="S335" s="18" t="s">
        <v>15</v>
      </c>
    </row>
    <row r="336" spans="1:19" x14ac:dyDescent="0.25">
      <c r="A336" s="17">
        <v>335</v>
      </c>
      <c r="B336" s="18" t="s">
        <v>15</v>
      </c>
      <c r="C336" s="18" t="s">
        <v>15</v>
      </c>
      <c r="D336" s="18" t="s">
        <v>15</v>
      </c>
      <c r="E336" s="18" t="s">
        <v>15</v>
      </c>
      <c r="F336" s="18" t="s">
        <v>15</v>
      </c>
      <c r="G336" s="18" t="s">
        <v>15</v>
      </c>
      <c r="H336" s="18" t="s">
        <v>3449</v>
      </c>
      <c r="I336" s="18" t="s">
        <v>15</v>
      </c>
      <c r="J336" s="18" t="s">
        <v>15</v>
      </c>
      <c r="K336" s="18" t="s">
        <v>15</v>
      </c>
      <c r="L336" s="18" t="s">
        <v>3450</v>
      </c>
      <c r="M336" s="18" t="s">
        <v>15</v>
      </c>
      <c r="N336" s="18" t="s">
        <v>15</v>
      </c>
      <c r="O336" s="18" t="s">
        <v>15</v>
      </c>
      <c r="P336" s="18" t="s">
        <v>15</v>
      </c>
      <c r="Q336" s="18" t="s">
        <v>15</v>
      </c>
      <c r="R336" s="18" t="s">
        <v>15</v>
      </c>
      <c r="S336" s="18" t="s">
        <v>15</v>
      </c>
    </row>
    <row r="337" spans="1:19" x14ac:dyDescent="0.25">
      <c r="A337" s="17">
        <v>336</v>
      </c>
      <c r="B337" s="18" t="s">
        <v>15</v>
      </c>
      <c r="C337" s="18" t="s">
        <v>15</v>
      </c>
      <c r="D337" s="18" t="s">
        <v>15</v>
      </c>
      <c r="E337" s="18" t="s">
        <v>15</v>
      </c>
      <c r="F337" s="18" t="s">
        <v>15</v>
      </c>
      <c r="G337" s="18" t="s">
        <v>15</v>
      </c>
      <c r="H337" s="18" t="s">
        <v>3451</v>
      </c>
      <c r="I337" s="18" t="s">
        <v>15</v>
      </c>
      <c r="J337" s="18" t="s">
        <v>15</v>
      </c>
      <c r="K337" s="18" t="s">
        <v>15</v>
      </c>
      <c r="L337" s="18" t="s">
        <v>3452</v>
      </c>
      <c r="M337" s="18" t="s">
        <v>15</v>
      </c>
      <c r="N337" s="18" t="s">
        <v>15</v>
      </c>
      <c r="O337" s="18" t="s">
        <v>15</v>
      </c>
      <c r="P337" s="18" t="s">
        <v>15</v>
      </c>
      <c r="Q337" s="18" t="s">
        <v>15</v>
      </c>
      <c r="R337" s="18" t="s">
        <v>15</v>
      </c>
      <c r="S337" s="18" t="s">
        <v>15</v>
      </c>
    </row>
    <row r="338" spans="1:19" x14ac:dyDescent="0.25">
      <c r="A338" s="17">
        <v>337</v>
      </c>
      <c r="B338" s="18" t="s">
        <v>15</v>
      </c>
      <c r="C338" s="18" t="s">
        <v>15</v>
      </c>
      <c r="D338" s="18" t="s">
        <v>15</v>
      </c>
      <c r="E338" s="18" t="s">
        <v>15</v>
      </c>
      <c r="F338" s="18" t="s">
        <v>15</v>
      </c>
      <c r="G338" s="18" t="s">
        <v>15</v>
      </c>
      <c r="H338" s="18" t="s">
        <v>3453</v>
      </c>
      <c r="I338" s="18" t="s">
        <v>15</v>
      </c>
      <c r="J338" s="18" t="s">
        <v>15</v>
      </c>
      <c r="K338" s="18" t="s">
        <v>15</v>
      </c>
      <c r="L338" s="18" t="s">
        <v>3454</v>
      </c>
      <c r="M338" s="18" t="s">
        <v>15</v>
      </c>
      <c r="N338" s="18" t="s">
        <v>15</v>
      </c>
      <c r="O338" s="18" t="s">
        <v>15</v>
      </c>
      <c r="P338" s="18" t="s">
        <v>15</v>
      </c>
      <c r="Q338" s="18" t="s">
        <v>15</v>
      </c>
      <c r="R338" s="18" t="s">
        <v>15</v>
      </c>
      <c r="S338" s="18" t="s">
        <v>15</v>
      </c>
    </row>
    <row r="339" spans="1:19" x14ac:dyDescent="0.25">
      <c r="A339" s="17">
        <v>338</v>
      </c>
      <c r="B339" s="18" t="s">
        <v>15</v>
      </c>
      <c r="C339" s="18" t="s">
        <v>15</v>
      </c>
      <c r="D339" s="18" t="s">
        <v>15</v>
      </c>
      <c r="E339" s="18" t="s">
        <v>15</v>
      </c>
      <c r="F339" s="18" t="s">
        <v>15</v>
      </c>
      <c r="G339" s="18" t="s">
        <v>15</v>
      </c>
      <c r="H339" s="18" t="s">
        <v>3455</v>
      </c>
      <c r="I339" s="18" t="s">
        <v>15</v>
      </c>
      <c r="J339" s="18" t="s">
        <v>15</v>
      </c>
      <c r="K339" s="18" t="s">
        <v>15</v>
      </c>
      <c r="L339" s="18" t="s">
        <v>3456</v>
      </c>
      <c r="M339" s="18" t="s">
        <v>15</v>
      </c>
      <c r="N339" s="18" t="s">
        <v>15</v>
      </c>
      <c r="O339" s="18" t="s">
        <v>15</v>
      </c>
      <c r="P339" s="18" t="s">
        <v>15</v>
      </c>
      <c r="Q339" s="18" t="s">
        <v>15</v>
      </c>
      <c r="R339" s="18" t="s">
        <v>15</v>
      </c>
      <c r="S339" s="18" t="s">
        <v>15</v>
      </c>
    </row>
    <row r="340" spans="1:19" x14ac:dyDescent="0.25">
      <c r="A340" s="17">
        <v>339</v>
      </c>
      <c r="B340" s="18" t="s">
        <v>15</v>
      </c>
      <c r="C340" s="18" t="s">
        <v>15</v>
      </c>
      <c r="D340" s="18" t="s">
        <v>15</v>
      </c>
      <c r="E340" s="18" t="s">
        <v>15</v>
      </c>
      <c r="F340" s="18" t="s">
        <v>15</v>
      </c>
      <c r="G340" s="18" t="s">
        <v>15</v>
      </c>
      <c r="H340" s="18" t="s">
        <v>3457</v>
      </c>
      <c r="I340" s="18" t="s">
        <v>15</v>
      </c>
      <c r="J340" s="18" t="s">
        <v>15</v>
      </c>
      <c r="K340" s="18" t="s">
        <v>15</v>
      </c>
      <c r="L340" s="18" t="s">
        <v>3458</v>
      </c>
      <c r="M340" s="18" t="s">
        <v>15</v>
      </c>
      <c r="N340" s="18" t="s">
        <v>15</v>
      </c>
      <c r="O340" s="18" t="s">
        <v>15</v>
      </c>
      <c r="P340" s="18" t="s">
        <v>15</v>
      </c>
      <c r="Q340" s="18" t="s">
        <v>15</v>
      </c>
      <c r="R340" s="18" t="s">
        <v>15</v>
      </c>
      <c r="S340" s="18" t="s">
        <v>15</v>
      </c>
    </row>
    <row r="341" spans="1:19" x14ac:dyDescent="0.25">
      <c r="A341" s="17">
        <v>340</v>
      </c>
      <c r="B341" s="18" t="s">
        <v>3459</v>
      </c>
      <c r="C341" s="18" t="s">
        <v>15</v>
      </c>
      <c r="D341" s="18" t="s">
        <v>15</v>
      </c>
      <c r="E341" s="18" t="s">
        <v>15</v>
      </c>
      <c r="F341" s="18" t="s">
        <v>15</v>
      </c>
      <c r="G341" s="18" t="s">
        <v>3460</v>
      </c>
      <c r="H341" s="18" t="s">
        <v>15</v>
      </c>
      <c r="I341" s="18" t="s">
        <v>15</v>
      </c>
      <c r="J341" s="18" t="s">
        <v>3461</v>
      </c>
      <c r="K341" s="18" t="s">
        <v>15</v>
      </c>
      <c r="L341" s="18" t="s">
        <v>3462</v>
      </c>
      <c r="M341" s="18" t="s">
        <v>15</v>
      </c>
      <c r="N341" s="18" t="s">
        <v>15</v>
      </c>
      <c r="O341" s="18" t="s">
        <v>15</v>
      </c>
      <c r="P341" s="18" t="s">
        <v>15</v>
      </c>
      <c r="Q341" s="18" t="s">
        <v>15</v>
      </c>
      <c r="R341" s="18" t="s">
        <v>15</v>
      </c>
      <c r="S341" s="18" t="s">
        <v>15</v>
      </c>
    </row>
    <row r="342" spans="1:19" x14ac:dyDescent="0.25">
      <c r="A342" s="17">
        <v>341</v>
      </c>
      <c r="B342" s="18" t="s">
        <v>3459</v>
      </c>
      <c r="C342" s="18" t="s">
        <v>15</v>
      </c>
      <c r="D342" s="18" t="s">
        <v>15</v>
      </c>
      <c r="E342" s="18" t="s">
        <v>15</v>
      </c>
      <c r="F342" s="18" t="s">
        <v>15</v>
      </c>
      <c r="G342" s="18" t="s">
        <v>3460</v>
      </c>
      <c r="H342" s="18" t="s">
        <v>15</v>
      </c>
      <c r="I342" s="18" t="s">
        <v>15</v>
      </c>
      <c r="J342" s="18" t="s">
        <v>3463</v>
      </c>
      <c r="K342" s="18" t="s">
        <v>15</v>
      </c>
      <c r="L342" s="18" t="s">
        <v>3462</v>
      </c>
      <c r="M342" s="18" t="s">
        <v>15</v>
      </c>
      <c r="N342" s="18" t="s">
        <v>15</v>
      </c>
      <c r="O342" s="18" t="s">
        <v>15</v>
      </c>
      <c r="P342" s="18" t="s">
        <v>15</v>
      </c>
      <c r="Q342" s="18" t="s">
        <v>15</v>
      </c>
      <c r="R342" s="18" t="s">
        <v>15</v>
      </c>
      <c r="S342" s="18" t="s">
        <v>15</v>
      </c>
    </row>
    <row r="343" spans="1:19" x14ac:dyDescent="0.25">
      <c r="A343" s="17">
        <v>342</v>
      </c>
      <c r="B343" s="18" t="s">
        <v>3459</v>
      </c>
      <c r="C343" s="18" t="s">
        <v>15</v>
      </c>
      <c r="D343" s="18" t="s">
        <v>15</v>
      </c>
      <c r="E343" s="18" t="s">
        <v>15</v>
      </c>
      <c r="F343" s="18" t="s">
        <v>15</v>
      </c>
      <c r="G343" s="18" t="s">
        <v>3460</v>
      </c>
      <c r="H343" s="18" t="s">
        <v>15</v>
      </c>
      <c r="I343" s="18" t="s">
        <v>15</v>
      </c>
      <c r="J343" s="18" t="s">
        <v>3464</v>
      </c>
      <c r="K343" s="18" t="s">
        <v>15</v>
      </c>
      <c r="L343" s="18" t="s">
        <v>3462</v>
      </c>
      <c r="M343" s="18" t="s">
        <v>15</v>
      </c>
      <c r="N343" s="18" t="s">
        <v>15</v>
      </c>
      <c r="O343" s="18" t="s">
        <v>15</v>
      </c>
      <c r="P343" s="18" t="s">
        <v>15</v>
      </c>
      <c r="Q343" s="18" t="s">
        <v>15</v>
      </c>
      <c r="R343" s="18" t="s">
        <v>15</v>
      </c>
      <c r="S343" s="18" t="s">
        <v>15</v>
      </c>
    </row>
    <row r="344" spans="1:19" x14ac:dyDescent="0.25">
      <c r="A344" s="17">
        <v>343</v>
      </c>
      <c r="B344" s="18" t="s">
        <v>3459</v>
      </c>
      <c r="C344" s="18" t="s">
        <v>15</v>
      </c>
      <c r="D344" s="18" t="s">
        <v>15</v>
      </c>
      <c r="E344" s="18" t="s">
        <v>15</v>
      </c>
      <c r="F344" s="18" t="s">
        <v>15</v>
      </c>
      <c r="G344" s="18" t="s">
        <v>3460</v>
      </c>
      <c r="H344" s="18" t="s">
        <v>15</v>
      </c>
      <c r="I344" s="18" t="s">
        <v>15</v>
      </c>
      <c r="J344" s="18" t="s">
        <v>3465</v>
      </c>
      <c r="K344" s="18" t="s">
        <v>15</v>
      </c>
      <c r="L344" s="18" t="s">
        <v>3462</v>
      </c>
      <c r="M344" s="18" t="s">
        <v>15</v>
      </c>
      <c r="N344" s="18" t="s">
        <v>15</v>
      </c>
      <c r="O344" s="18" t="s">
        <v>15</v>
      </c>
      <c r="P344" s="18" t="s">
        <v>15</v>
      </c>
      <c r="Q344" s="18" t="s">
        <v>15</v>
      </c>
      <c r="R344" s="18" t="s">
        <v>15</v>
      </c>
      <c r="S344" s="18" t="s">
        <v>15</v>
      </c>
    </row>
    <row r="345" spans="1:19" x14ac:dyDescent="0.25">
      <c r="A345" s="17">
        <v>344</v>
      </c>
      <c r="B345" s="18" t="s">
        <v>3466</v>
      </c>
      <c r="C345" s="18" t="s">
        <v>15</v>
      </c>
      <c r="D345" s="18" t="s">
        <v>15</v>
      </c>
      <c r="E345" s="18" t="s">
        <v>15</v>
      </c>
      <c r="F345" s="18" t="s">
        <v>15</v>
      </c>
      <c r="G345" s="18" t="s">
        <v>3460</v>
      </c>
      <c r="H345" s="18" t="s">
        <v>15</v>
      </c>
      <c r="I345" s="18" t="s">
        <v>15</v>
      </c>
      <c r="J345" s="18" t="s">
        <v>3467</v>
      </c>
      <c r="K345" s="18" t="s">
        <v>15</v>
      </c>
      <c r="L345" s="18" t="s">
        <v>3462</v>
      </c>
      <c r="M345" s="18" t="s">
        <v>15</v>
      </c>
      <c r="N345" s="18" t="s">
        <v>15</v>
      </c>
      <c r="O345" s="18" t="s">
        <v>15</v>
      </c>
      <c r="P345" s="18" t="s">
        <v>15</v>
      </c>
      <c r="Q345" s="18" t="s">
        <v>15</v>
      </c>
      <c r="R345" s="18" t="s">
        <v>15</v>
      </c>
      <c r="S345" s="18" t="s">
        <v>15</v>
      </c>
    </row>
    <row r="346" spans="1:19" x14ac:dyDescent="0.25">
      <c r="A346" s="17">
        <v>345</v>
      </c>
      <c r="B346" s="18" t="s">
        <v>3466</v>
      </c>
      <c r="C346" s="18" t="s">
        <v>15</v>
      </c>
      <c r="D346" s="18" t="s">
        <v>15</v>
      </c>
      <c r="E346" s="18" t="s">
        <v>15</v>
      </c>
      <c r="F346" s="18" t="s">
        <v>15</v>
      </c>
      <c r="G346" s="18" t="s">
        <v>3460</v>
      </c>
      <c r="H346" s="18" t="s">
        <v>15</v>
      </c>
      <c r="I346" s="18" t="s">
        <v>15</v>
      </c>
      <c r="J346" s="18" t="s">
        <v>3468</v>
      </c>
      <c r="K346" s="18" t="s">
        <v>15</v>
      </c>
      <c r="L346" s="18" t="s">
        <v>3462</v>
      </c>
      <c r="M346" s="18" t="s">
        <v>15</v>
      </c>
      <c r="N346" s="18" t="s">
        <v>15</v>
      </c>
      <c r="O346" s="18" t="s">
        <v>15</v>
      </c>
      <c r="P346" s="18" t="s">
        <v>15</v>
      </c>
      <c r="Q346" s="18" t="s">
        <v>15</v>
      </c>
      <c r="R346" s="18" t="s">
        <v>15</v>
      </c>
      <c r="S346" s="18" t="s">
        <v>15</v>
      </c>
    </row>
    <row r="347" spans="1:19" x14ac:dyDescent="0.25">
      <c r="A347" s="17">
        <v>346</v>
      </c>
      <c r="B347" s="18" t="s">
        <v>3466</v>
      </c>
      <c r="C347" s="18" t="s">
        <v>15</v>
      </c>
      <c r="D347" s="18" t="s">
        <v>15</v>
      </c>
      <c r="E347" s="18" t="s">
        <v>15</v>
      </c>
      <c r="F347" s="18" t="s">
        <v>15</v>
      </c>
      <c r="G347" s="18" t="s">
        <v>3460</v>
      </c>
      <c r="H347" s="18" t="s">
        <v>15</v>
      </c>
      <c r="I347" s="18" t="s">
        <v>15</v>
      </c>
      <c r="J347" s="18" t="s">
        <v>3163</v>
      </c>
      <c r="K347" s="18" t="s">
        <v>15</v>
      </c>
      <c r="L347" s="18" t="s">
        <v>3462</v>
      </c>
      <c r="M347" s="18" t="s">
        <v>15</v>
      </c>
      <c r="N347" s="18" t="s">
        <v>15</v>
      </c>
      <c r="O347" s="18" t="s">
        <v>15</v>
      </c>
      <c r="P347" s="18" t="s">
        <v>15</v>
      </c>
      <c r="Q347" s="18" t="s">
        <v>15</v>
      </c>
      <c r="R347" s="18" t="s">
        <v>15</v>
      </c>
      <c r="S347" s="18" t="s">
        <v>15</v>
      </c>
    </row>
    <row r="348" spans="1:19" x14ac:dyDescent="0.25">
      <c r="A348" s="17">
        <v>347</v>
      </c>
      <c r="B348" s="18" t="s">
        <v>15</v>
      </c>
      <c r="C348" s="18" t="s">
        <v>15</v>
      </c>
      <c r="D348" s="18" t="s">
        <v>15</v>
      </c>
      <c r="E348" s="18" t="s">
        <v>15</v>
      </c>
      <c r="F348" s="18" t="s">
        <v>15</v>
      </c>
      <c r="G348" s="18" t="s">
        <v>15</v>
      </c>
      <c r="H348" s="18" t="s">
        <v>15</v>
      </c>
      <c r="I348" s="18" t="s">
        <v>15</v>
      </c>
      <c r="J348" s="18" t="s">
        <v>3240</v>
      </c>
      <c r="K348" s="18" t="s">
        <v>2837</v>
      </c>
      <c r="L348" s="18" t="s">
        <v>3469</v>
      </c>
      <c r="M348" s="18" t="s">
        <v>15</v>
      </c>
      <c r="N348" s="18" t="s">
        <v>15</v>
      </c>
      <c r="O348" s="18" t="s">
        <v>15</v>
      </c>
      <c r="P348" s="18" t="s">
        <v>15</v>
      </c>
      <c r="Q348" s="18" t="s">
        <v>15</v>
      </c>
      <c r="R348" s="18" t="s">
        <v>3416</v>
      </c>
      <c r="S348" s="18" t="s">
        <v>15</v>
      </c>
    </row>
    <row r="349" spans="1:19" x14ac:dyDescent="0.25">
      <c r="A349" s="17">
        <v>348</v>
      </c>
      <c r="B349" s="18" t="s">
        <v>15</v>
      </c>
      <c r="C349" s="18" t="s">
        <v>15</v>
      </c>
      <c r="D349" s="18" t="s">
        <v>15</v>
      </c>
      <c r="E349" s="18" t="s">
        <v>15</v>
      </c>
      <c r="F349" s="18" t="s">
        <v>15</v>
      </c>
      <c r="G349" s="18" t="s">
        <v>15</v>
      </c>
      <c r="H349" s="18" t="s">
        <v>15</v>
      </c>
      <c r="I349" s="18" t="s">
        <v>15</v>
      </c>
      <c r="J349" s="18" t="s">
        <v>2868</v>
      </c>
      <c r="K349" s="18" t="s">
        <v>3348</v>
      </c>
      <c r="L349" s="18" t="s">
        <v>3470</v>
      </c>
      <c r="M349" s="18" t="s">
        <v>15</v>
      </c>
      <c r="N349" s="18" t="s">
        <v>15</v>
      </c>
      <c r="O349" s="18" t="s">
        <v>15</v>
      </c>
      <c r="P349" s="18" t="s">
        <v>15</v>
      </c>
      <c r="Q349" s="18" t="s">
        <v>15</v>
      </c>
      <c r="R349" s="18" t="s">
        <v>3416</v>
      </c>
      <c r="S349" s="18" t="s">
        <v>15</v>
      </c>
    </row>
    <row r="350" spans="1:19" x14ac:dyDescent="0.25">
      <c r="A350" s="17">
        <v>349</v>
      </c>
      <c r="B350" s="18" t="s">
        <v>15</v>
      </c>
      <c r="C350" s="18" t="s">
        <v>15</v>
      </c>
      <c r="D350" s="18" t="s">
        <v>15</v>
      </c>
      <c r="E350" s="18" t="s">
        <v>15</v>
      </c>
      <c r="F350" s="18" t="s">
        <v>15</v>
      </c>
      <c r="G350" s="18" t="s">
        <v>15</v>
      </c>
      <c r="H350" s="18" t="s">
        <v>15</v>
      </c>
      <c r="I350" s="18" t="s">
        <v>15</v>
      </c>
      <c r="J350" s="18" t="s">
        <v>3036</v>
      </c>
      <c r="K350" s="18" t="s">
        <v>2837</v>
      </c>
      <c r="L350" s="18" t="s">
        <v>3471</v>
      </c>
      <c r="M350" s="18" t="s">
        <v>15</v>
      </c>
      <c r="N350" s="18" t="s">
        <v>15</v>
      </c>
      <c r="O350" s="18" t="s">
        <v>15</v>
      </c>
      <c r="P350" s="18" t="s">
        <v>15</v>
      </c>
      <c r="Q350" s="18" t="s">
        <v>15</v>
      </c>
      <c r="R350" s="18" t="s">
        <v>3253</v>
      </c>
      <c r="S350" s="18" t="s">
        <v>15</v>
      </c>
    </row>
    <row r="351" spans="1:19" x14ac:dyDescent="0.25">
      <c r="A351" s="17">
        <v>350</v>
      </c>
      <c r="B351" s="18" t="s">
        <v>15</v>
      </c>
      <c r="C351" s="18" t="s">
        <v>15</v>
      </c>
      <c r="D351" s="18" t="s">
        <v>15</v>
      </c>
      <c r="E351" s="18" t="s">
        <v>15</v>
      </c>
      <c r="F351" s="18" t="s">
        <v>15</v>
      </c>
      <c r="G351" s="18" t="s">
        <v>15</v>
      </c>
      <c r="H351" s="18" t="s">
        <v>15</v>
      </c>
      <c r="I351" s="18" t="s">
        <v>15</v>
      </c>
      <c r="J351" s="18" t="s">
        <v>3472</v>
      </c>
      <c r="K351" s="18" t="s">
        <v>2837</v>
      </c>
      <c r="L351" s="18" t="s">
        <v>3473</v>
      </c>
      <c r="M351" s="18" t="s">
        <v>15</v>
      </c>
      <c r="N351" s="18" t="s">
        <v>15</v>
      </c>
      <c r="O351" s="18" t="s">
        <v>15</v>
      </c>
      <c r="P351" s="18" t="s">
        <v>15</v>
      </c>
      <c r="Q351" s="18" t="s">
        <v>15</v>
      </c>
      <c r="R351" s="18" t="s">
        <v>3253</v>
      </c>
      <c r="S351" s="18" t="s">
        <v>15</v>
      </c>
    </row>
    <row r="352" spans="1:19" x14ac:dyDescent="0.25">
      <c r="A352" s="17">
        <v>351</v>
      </c>
      <c r="B352" s="18" t="s">
        <v>15</v>
      </c>
      <c r="C352" s="18" t="s">
        <v>15</v>
      </c>
      <c r="D352" s="18" t="s">
        <v>15</v>
      </c>
      <c r="E352" s="18" t="s">
        <v>15</v>
      </c>
      <c r="F352" s="18" t="s">
        <v>15</v>
      </c>
      <c r="G352" s="18" t="s">
        <v>15</v>
      </c>
      <c r="H352" s="18" t="s">
        <v>3474</v>
      </c>
      <c r="I352" s="18" t="s">
        <v>15</v>
      </c>
      <c r="J352" s="18" t="s">
        <v>3467</v>
      </c>
      <c r="K352" s="18" t="s">
        <v>2837</v>
      </c>
      <c r="L352" s="18" t="s">
        <v>3475</v>
      </c>
      <c r="M352" s="18" t="s">
        <v>15</v>
      </c>
      <c r="N352" s="18" t="s">
        <v>15</v>
      </c>
      <c r="O352" s="18" t="s">
        <v>15</v>
      </c>
      <c r="P352" s="18" t="s">
        <v>15</v>
      </c>
      <c r="Q352" s="18" t="s">
        <v>15</v>
      </c>
      <c r="R352" s="18" t="s">
        <v>816</v>
      </c>
      <c r="S352" s="18" t="s">
        <v>15</v>
      </c>
    </row>
    <row r="353" spans="1:19" x14ac:dyDescent="0.25">
      <c r="A353" s="17">
        <v>352</v>
      </c>
      <c r="B353" s="18" t="s">
        <v>15</v>
      </c>
      <c r="C353" s="18" t="s">
        <v>15</v>
      </c>
      <c r="D353" s="18" t="s">
        <v>15</v>
      </c>
      <c r="E353" s="18" t="s">
        <v>15</v>
      </c>
      <c r="F353" s="18" t="s">
        <v>15</v>
      </c>
      <c r="G353" s="18" t="s">
        <v>15</v>
      </c>
      <c r="H353" s="18" t="s">
        <v>15</v>
      </c>
      <c r="I353" s="18" t="s">
        <v>15</v>
      </c>
      <c r="J353" s="18" t="s">
        <v>3043</v>
      </c>
      <c r="K353" s="18" t="s">
        <v>2837</v>
      </c>
      <c r="L353" s="18" t="s">
        <v>3476</v>
      </c>
      <c r="M353" s="18" t="s">
        <v>15</v>
      </c>
      <c r="N353" s="18" t="s">
        <v>15</v>
      </c>
      <c r="O353" s="18" t="s">
        <v>15</v>
      </c>
      <c r="P353" s="18" t="s">
        <v>15</v>
      </c>
      <c r="Q353" s="18" t="s">
        <v>15</v>
      </c>
      <c r="R353" s="18" t="s">
        <v>3416</v>
      </c>
      <c r="S353" s="18" t="s">
        <v>15</v>
      </c>
    </row>
    <row r="354" spans="1:19" x14ac:dyDescent="0.25">
      <c r="A354" s="17">
        <v>353</v>
      </c>
      <c r="B354" s="18" t="s">
        <v>15</v>
      </c>
      <c r="C354" s="18" t="s">
        <v>15</v>
      </c>
      <c r="D354" s="18" t="s">
        <v>15</v>
      </c>
      <c r="E354" s="18" t="s">
        <v>15</v>
      </c>
      <c r="F354" s="18" t="s">
        <v>15</v>
      </c>
      <c r="G354" s="18" t="s">
        <v>3477</v>
      </c>
      <c r="H354" s="18" t="s">
        <v>3478</v>
      </c>
      <c r="I354" s="18" t="s">
        <v>15</v>
      </c>
      <c r="J354" s="18" t="s">
        <v>2875</v>
      </c>
      <c r="K354" s="18" t="s">
        <v>3479</v>
      </c>
      <c r="L354" s="18" t="s">
        <v>3480</v>
      </c>
      <c r="M354" s="18" t="s">
        <v>15</v>
      </c>
      <c r="N354" s="18" t="s">
        <v>15</v>
      </c>
      <c r="O354" s="18" t="s">
        <v>15</v>
      </c>
      <c r="P354" s="18" t="s">
        <v>563</v>
      </c>
      <c r="Q354" s="18" t="s">
        <v>15</v>
      </c>
      <c r="R354" s="18" t="s">
        <v>2839</v>
      </c>
      <c r="S354" s="18" t="s">
        <v>15</v>
      </c>
    </row>
    <row r="355" spans="1:19" x14ac:dyDescent="0.25">
      <c r="A355" s="17">
        <v>354</v>
      </c>
      <c r="B355" s="18" t="s">
        <v>15</v>
      </c>
      <c r="C355" s="18" t="s">
        <v>15</v>
      </c>
      <c r="D355" s="18" t="s">
        <v>15</v>
      </c>
      <c r="E355" s="18" t="s">
        <v>15</v>
      </c>
      <c r="F355" s="18" t="s">
        <v>15</v>
      </c>
      <c r="G355" s="18" t="s">
        <v>3481</v>
      </c>
      <c r="H355" s="18" t="s">
        <v>3482</v>
      </c>
      <c r="I355" s="18" t="s">
        <v>15</v>
      </c>
      <c r="J355" s="18" t="s">
        <v>3085</v>
      </c>
      <c r="K355" s="18" t="s">
        <v>3168</v>
      </c>
      <c r="L355" s="18" t="s">
        <v>3483</v>
      </c>
      <c r="M355" s="18" t="s">
        <v>15</v>
      </c>
      <c r="N355" s="18" t="s">
        <v>15</v>
      </c>
      <c r="O355" s="18" t="s">
        <v>15</v>
      </c>
      <c r="P355" s="18" t="s">
        <v>15</v>
      </c>
      <c r="Q355" s="18" t="s">
        <v>15</v>
      </c>
      <c r="R355" s="18" t="s">
        <v>15</v>
      </c>
      <c r="S355" s="18" t="s">
        <v>15</v>
      </c>
    </row>
    <row r="356" spans="1:19" x14ac:dyDescent="0.25">
      <c r="A356" s="17">
        <v>355</v>
      </c>
      <c r="B356" s="18" t="s">
        <v>15</v>
      </c>
      <c r="C356" s="18" t="s">
        <v>15</v>
      </c>
      <c r="D356" s="18" t="s">
        <v>15</v>
      </c>
      <c r="E356" s="18" t="s">
        <v>15</v>
      </c>
      <c r="F356" s="18" t="s">
        <v>15</v>
      </c>
      <c r="G356" s="18" t="s">
        <v>15</v>
      </c>
      <c r="H356" s="18" t="s">
        <v>3484</v>
      </c>
      <c r="I356" s="18" t="s">
        <v>15</v>
      </c>
      <c r="J356" s="18" t="s">
        <v>2875</v>
      </c>
      <c r="K356" s="18" t="s">
        <v>3168</v>
      </c>
      <c r="L356" s="18" t="s">
        <v>3485</v>
      </c>
      <c r="M356" s="18" t="s">
        <v>15</v>
      </c>
      <c r="N356" s="18" t="s">
        <v>15</v>
      </c>
      <c r="O356" s="18" t="s">
        <v>15</v>
      </c>
      <c r="P356" s="18" t="s">
        <v>15</v>
      </c>
      <c r="Q356" s="18" t="s">
        <v>15</v>
      </c>
      <c r="R356" s="18" t="s">
        <v>15</v>
      </c>
      <c r="S356" s="18" t="s">
        <v>15</v>
      </c>
    </row>
    <row r="357" spans="1:19" x14ac:dyDescent="0.25">
      <c r="A357" s="17">
        <v>356</v>
      </c>
      <c r="B357" s="18" t="s">
        <v>15</v>
      </c>
      <c r="C357" s="18" t="s">
        <v>15</v>
      </c>
      <c r="D357" s="18" t="s">
        <v>15</v>
      </c>
      <c r="E357" s="18" t="s">
        <v>15</v>
      </c>
      <c r="F357" s="18" t="s">
        <v>15</v>
      </c>
      <c r="G357" s="18" t="s">
        <v>3486</v>
      </c>
      <c r="H357" s="18" t="s">
        <v>3487</v>
      </c>
      <c r="I357" s="18" t="s">
        <v>15</v>
      </c>
      <c r="J357" s="18" t="s">
        <v>3002</v>
      </c>
      <c r="K357" s="18" t="s">
        <v>3168</v>
      </c>
      <c r="L357" s="18" t="s">
        <v>3488</v>
      </c>
      <c r="M357" s="18" t="s">
        <v>15</v>
      </c>
      <c r="N357" s="18" t="s">
        <v>15</v>
      </c>
      <c r="O357" s="18" t="s">
        <v>15</v>
      </c>
      <c r="P357" s="18" t="s">
        <v>15</v>
      </c>
      <c r="Q357" s="18" t="s">
        <v>15</v>
      </c>
      <c r="R357" s="18" t="s">
        <v>15</v>
      </c>
      <c r="S357" s="18" t="s">
        <v>15</v>
      </c>
    </row>
    <row r="358" spans="1:19" x14ac:dyDescent="0.25">
      <c r="A358" s="17">
        <v>357</v>
      </c>
      <c r="B358" s="18" t="s">
        <v>15</v>
      </c>
      <c r="C358" s="18" t="s">
        <v>15</v>
      </c>
      <c r="D358" s="18" t="s">
        <v>15</v>
      </c>
      <c r="E358" s="18" t="s">
        <v>15</v>
      </c>
      <c r="F358" s="18" t="s">
        <v>15</v>
      </c>
      <c r="G358" s="18" t="s">
        <v>15</v>
      </c>
      <c r="H358" s="18" t="s">
        <v>3489</v>
      </c>
      <c r="I358" s="18" t="s">
        <v>15</v>
      </c>
      <c r="J358" s="18" t="s">
        <v>2889</v>
      </c>
      <c r="K358" s="18" t="s">
        <v>3168</v>
      </c>
      <c r="L358" s="18" t="s">
        <v>3490</v>
      </c>
      <c r="M358" s="18" t="s">
        <v>15</v>
      </c>
      <c r="N358" s="18" t="s">
        <v>15</v>
      </c>
      <c r="O358" s="18" t="s">
        <v>15</v>
      </c>
      <c r="P358" s="18" t="s">
        <v>15</v>
      </c>
      <c r="Q358" s="18" t="s">
        <v>15</v>
      </c>
      <c r="R358" s="18" t="s">
        <v>15</v>
      </c>
      <c r="S358" s="18" t="s">
        <v>15</v>
      </c>
    </row>
    <row r="359" spans="1:19" x14ac:dyDescent="0.25">
      <c r="A359" s="17">
        <v>358</v>
      </c>
      <c r="B359" s="18" t="s">
        <v>15</v>
      </c>
      <c r="C359" s="18" t="s">
        <v>15</v>
      </c>
      <c r="D359" s="18" t="s">
        <v>15</v>
      </c>
      <c r="E359" s="18" t="s">
        <v>15</v>
      </c>
      <c r="F359" s="18" t="s">
        <v>15</v>
      </c>
      <c r="G359" s="18" t="s">
        <v>2846</v>
      </c>
      <c r="H359" s="18" t="s">
        <v>3491</v>
      </c>
      <c r="I359" s="18" t="s">
        <v>15</v>
      </c>
      <c r="J359" s="18" t="s">
        <v>2882</v>
      </c>
      <c r="K359" s="18" t="s">
        <v>15</v>
      </c>
      <c r="L359" s="18" t="s">
        <v>3492</v>
      </c>
      <c r="M359" s="18" t="s">
        <v>15</v>
      </c>
      <c r="N359" s="18" t="s">
        <v>15</v>
      </c>
      <c r="O359" s="18" t="s">
        <v>3493</v>
      </c>
      <c r="P359" s="18" t="s">
        <v>61</v>
      </c>
      <c r="Q359" s="18" t="s">
        <v>3494</v>
      </c>
      <c r="R359" s="18" t="s">
        <v>15</v>
      </c>
      <c r="S359" s="18" t="s">
        <v>15</v>
      </c>
    </row>
    <row r="360" spans="1:19" x14ac:dyDescent="0.25">
      <c r="A360" s="17">
        <v>359</v>
      </c>
      <c r="B360" s="18" t="s">
        <v>15</v>
      </c>
      <c r="C360" s="18" t="s">
        <v>15</v>
      </c>
      <c r="D360" s="18" t="s">
        <v>15</v>
      </c>
      <c r="E360" s="18" t="s">
        <v>15</v>
      </c>
      <c r="F360" s="18" t="s">
        <v>15</v>
      </c>
      <c r="G360" s="18" t="s">
        <v>15</v>
      </c>
      <c r="H360" s="18" t="s">
        <v>3495</v>
      </c>
      <c r="I360" s="18" t="s">
        <v>15</v>
      </c>
      <c r="J360" s="18" t="s">
        <v>15</v>
      </c>
      <c r="K360" s="18" t="s">
        <v>15</v>
      </c>
      <c r="L360" s="18" t="s">
        <v>3496</v>
      </c>
      <c r="M360" s="18" t="s">
        <v>15</v>
      </c>
      <c r="N360" s="18" t="s">
        <v>15</v>
      </c>
      <c r="O360" s="18" t="s">
        <v>15</v>
      </c>
      <c r="P360" s="18" t="s">
        <v>15</v>
      </c>
      <c r="Q360" s="18" t="s">
        <v>15</v>
      </c>
      <c r="R360" s="18" t="s">
        <v>15</v>
      </c>
      <c r="S360" s="18" t="s">
        <v>15</v>
      </c>
    </row>
    <row r="361" spans="1:19" x14ac:dyDescent="0.25">
      <c r="A361" s="17">
        <v>360</v>
      </c>
      <c r="B361" s="18" t="s">
        <v>15</v>
      </c>
      <c r="C361" s="18" t="s">
        <v>15</v>
      </c>
      <c r="D361" s="18" t="s">
        <v>15</v>
      </c>
      <c r="E361" s="18" t="s">
        <v>15</v>
      </c>
      <c r="F361" s="18" t="s">
        <v>15</v>
      </c>
      <c r="G361" s="18" t="s">
        <v>3497</v>
      </c>
      <c r="H361" s="18" t="s">
        <v>3498</v>
      </c>
      <c r="I361" s="18" t="s">
        <v>15</v>
      </c>
      <c r="J361" s="18" t="s">
        <v>15</v>
      </c>
      <c r="K361" s="18" t="s">
        <v>15</v>
      </c>
      <c r="L361" s="18" t="s">
        <v>3499</v>
      </c>
      <c r="M361" s="18" t="s">
        <v>15</v>
      </c>
      <c r="N361" s="18" t="s">
        <v>15</v>
      </c>
      <c r="O361" s="18" t="s">
        <v>15</v>
      </c>
      <c r="P361" s="18" t="s">
        <v>15</v>
      </c>
      <c r="Q361" s="18" t="s">
        <v>15</v>
      </c>
      <c r="R361" s="18" t="s">
        <v>15</v>
      </c>
      <c r="S361" s="18" t="s">
        <v>15</v>
      </c>
    </row>
    <row r="362" spans="1:19" x14ac:dyDescent="0.25">
      <c r="A362" s="17">
        <v>361</v>
      </c>
      <c r="B362" s="18" t="s">
        <v>15</v>
      </c>
      <c r="C362" s="18" t="s">
        <v>15</v>
      </c>
      <c r="D362" s="18" t="s">
        <v>15</v>
      </c>
      <c r="E362" s="18" t="s">
        <v>15</v>
      </c>
      <c r="F362" s="18" t="s">
        <v>15</v>
      </c>
      <c r="G362" s="18" t="s">
        <v>15</v>
      </c>
      <c r="H362" s="18" t="s">
        <v>15</v>
      </c>
      <c r="I362" s="18" t="s">
        <v>424</v>
      </c>
      <c r="J362" s="18" t="s">
        <v>2889</v>
      </c>
      <c r="K362" s="18" t="s">
        <v>2943</v>
      </c>
      <c r="L362" s="18" t="s">
        <v>3500</v>
      </c>
      <c r="M362" s="18" t="s">
        <v>15</v>
      </c>
      <c r="N362" s="18" t="s">
        <v>15</v>
      </c>
      <c r="O362" s="18" t="s">
        <v>15</v>
      </c>
      <c r="P362" s="18" t="s">
        <v>15</v>
      </c>
      <c r="Q362" s="18" t="s">
        <v>15</v>
      </c>
      <c r="R362" s="18" t="s">
        <v>3171</v>
      </c>
      <c r="S362" s="18" t="s">
        <v>15</v>
      </c>
    </row>
    <row r="363" spans="1:19" x14ac:dyDescent="0.25">
      <c r="A363" s="17">
        <v>362</v>
      </c>
      <c r="B363" s="18" t="s">
        <v>15</v>
      </c>
      <c r="C363" s="18" t="s">
        <v>15</v>
      </c>
      <c r="D363" s="18" t="s">
        <v>15</v>
      </c>
      <c r="E363" s="18" t="s">
        <v>15</v>
      </c>
      <c r="F363" s="18" t="s">
        <v>15</v>
      </c>
      <c r="G363" s="18" t="s">
        <v>15</v>
      </c>
      <c r="H363" s="18" t="s">
        <v>3440</v>
      </c>
      <c r="I363" s="18" t="s">
        <v>424</v>
      </c>
      <c r="J363" s="18" t="s">
        <v>2868</v>
      </c>
      <c r="K363" s="18" t="s">
        <v>2837</v>
      </c>
      <c r="L363" s="18" t="s">
        <v>3501</v>
      </c>
      <c r="M363" s="18" t="s">
        <v>15</v>
      </c>
      <c r="N363" s="18" t="s">
        <v>15</v>
      </c>
      <c r="O363" s="18" t="s">
        <v>15</v>
      </c>
      <c r="P363" s="18" t="s">
        <v>121</v>
      </c>
      <c r="Q363" s="18" t="s">
        <v>15</v>
      </c>
      <c r="R363" s="18" t="s">
        <v>3202</v>
      </c>
      <c r="S363" s="18" t="s">
        <v>15</v>
      </c>
    </row>
    <row r="364" spans="1:19" x14ac:dyDescent="0.25">
      <c r="A364" s="17">
        <v>363</v>
      </c>
      <c r="B364" s="18" t="s">
        <v>15</v>
      </c>
      <c r="C364" s="18" t="s">
        <v>15</v>
      </c>
      <c r="D364" s="18" t="s">
        <v>15</v>
      </c>
      <c r="E364" s="18" t="s">
        <v>15</v>
      </c>
      <c r="F364" s="18" t="s">
        <v>15</v>
      </c>
      <c r="G364" s="18" t="s">
        <v>15</v>
      </c>
      <c r="H364" s="18" t="s">
        <v>15</v>
      </c>
      <c r="I364" s="18" t="s">
        <v>424</v>
      </c>
      <c r="J364" s="18" t="s">
        <v>3100</v>
      </c>
      <c r="K364" s="18" t="s">
        <v>2943</v>
      </c>
      <c r="L364" s="18" t="s">
        <v>3502</v>
      </c>
      <c r="M364" s="18" t="s">
        <v>15</v>
      </c>
      <c r="N364" s="18" t="s">
        <v>15</v>
      </c>
      <c r="O364" s="18" t="s">
        <v>15</v>
      </c>
      <c r="P364" s="18" t="s">
        <v>15</v>
      </c>
      <c r="Q364" s="18" t="s">
        <v>15</v>
      </c>
      <c r="R364" s="18" t="s">
        <v>15</v>
      </c>
      <c r="S364" s="18" t="s">
        <v>15</v>
      </c>
    </row>
    <row r="365" spans="1:19" x14ac:dyDescent="0.25">
      <c r="A365" s="17">
        <v>364</v>
      </c>
      <c r="B365" s="18" t="s">
        <v>15</v>
      </c>
      <c r="C365" s="18" t="s">
        <v>15</v>
      </c>
      <c r="D365" s="18" t="s">
        <v>15</v>
      </c>
      <c r="E365" s="18" t="s">
        <v>15</v>
      </c>
      <c r="F365" s="18" t="s">
        <v>15</v>
      </c>
      <c r="G365" s="18" t="s">
        <v>61</v>
      </c>
      <c r="H365" s="18" t="s">
        <v>3503</v>
      </c>
      <c r="I365" s="18" t="s">
        <v>424</v>
      </c>
      <c r="J365" s="18" t="s">
        <v>3083</v>
      </c>
      <c r="K365" s="18" t="s">
        <v>2837</v>
      </c>
      <c r="L365" s="18" t="s">
        <v>3504</v>
      </c>
      <c r="M365" s="18" t="s">
        <v>15</v>
      </c>
      <c r="N365" s="18" t="s">
        <v>15</v>
      </c>
      <c r="O365" s="18" t="s">
        <v>15</v>
      </c>
      <c r="P365" s="18" t="s">
        <v>61</v>
      </c>
      <c r="Q365" s="18" t="s">
        <v>3503</v>
      </c>
      <c r="R365" s="18" t="s">
        <v>3171</v>
      </c>
      <c r="S365" s="18" t="s">
        <v>15</v>
      </c>
    </row>
    <row r="366" spans="1:19" x14ac:dyDescent="0.25">
      <c r="A366" s="17">
        <v>365</v>
      </c>
      <c r="B366" s="18" t="s">
        <v>15</v>
      </c>
      <c r="C366" s="18" t="s">
        <v>15</v>
      </c>
      <c r="D366" s="18" t="s">
        <v>15</v>
      </c>
      <c r="E366" s="18" t="s">
        <v>15</v>
      </c>
      <c r="F366" s="18" t="s">
        <v>15</v>
      </c>
      <c r="G366" s="18" t="s">
        <v>61</v>
      </c>
      <c r="H366" s="18" t="s">
        <v>15</v>
      </c>
      <c r="I366" s="18" t="s">
        <v>424</v>
      </c>
      <c r="J366" s="18" t="s">
        <v>3007</v>
      </c>
      <c r="K366" s="18" t="s">
        <v>2837</v>
      </c>
      <c r="L366" s="18" t="s">
        <v>3505</v>
      </c>
      <c r="M366" s="18" t="s">
        <v>15</v>
      </c>
      <c r="N366" s="18" t="s">
        <v>15</v>
      </c>
      <c r="O366" s="18" t="s">
        <v>15</v>
      </c>
      <c r="P366" s="18" t="s">
        <v>61</v>
      </c>
      <c r="Q366" s="18" t="s">
        <v>15</v>
      </c>
      <c r="R366" s="18" t="s">
        <v>3171</v>
      </c>
      <c r="S366" s="18" t="s">
        <v>15</v>
      </c>
    </row>
    <row r="367" spans="1:19" x14ac:dyDescent="0.25">
      <c r="A367" s="17">
        <v>366</v>
      </c>
      <c r="B367" s="18" t="s">
        <v>15</v>
      </c>
      <c r="C367" s="18" t="s">
        <v>15</v>
      </c>
      <c r="D367" s="18" t="s">
        <v>15</v>
      </c>
      <c r="E367" s="18" t="s">
        <v>15</v>
      </c>
      <c r="F367" s="18" t="s">
        <v>15</v>
      </c>
      <c r="G367" s="18" t="s">
        <v>61</v>
      </c>
      <c r="H367" s="18" t="s">
        <v>15</v>
      </c>
      <c r="I367" s="18" t="s">
        <v>424</v>
      </c>
      <c r="J367" s="18" t="s">
        <v>2961</v>
      </c>
      <c r="K367" s="18" t="s">
        <v>2837</v>
      </c>
      <c r="L367" s="18" t="s">
        <v>3506</v>
      </c>
      <c r="M367" s="18" t="s">
        <v>15</v>
      </c>
      <c r="N367" s="18" t="s">
        <v>15</v>
      </c>
      <c r="O367" s="18" t="s">
        <v>15</v>
      </c>
      <c r="P367" s="18" t="s">
        <v>61</v>
      </c>
      <c r="Q367" s="18" t="s">
        <v>15</v>
      </c>
      <c r="R367" s="18" t="s">
        <v>3171</v>
      </c>
      <c r="S367" s="18" t="s">
        <v>15</v>
      </c>
    </row>
    <row r="368" spans="1:19" x14ac:dyDescent="0.25">
      <c r="A368" s="17">
        <v>367</v>
      </c>
      <c r="B368" s="18" t="s">
        <v>15</v>
      </c>
      <c r="C368" s="18" t="s">
        <v>15</v>
      </c>
      <c r="D368" s="18" t="s">
        <v>15</v>
      </c>
      <c r="E368" s="18" t="s">
        <v>15</v>
      </c>
      <c r="F368" s="18" t="s">
        <v>15</v>
      </c>
      <c r="G368" s="18" t="s">
        <v>61</v>
      </c>
      <c r="H368" s="18" t="s">
        <v>15</v>
      </c>
      <c r="I368" s="18" t="s">
        <v>424</v>
      </c>
      <c r="J368" s="18" t="s">
        <v>2889</v>
      </c>
      <c r="K368" s="18" t="s">
        <v>2837</v>
      </c>
      <c r="L368" s="18" t="s">
        <v>3507</v>
      </c>
      <c r="M368" s="18" t="s">
        <v>15</v>
      </c>
      <c r="N368" s="18" t="s">
        <v>15</v>
      </c>
      <c r="O368" s="18" t="s">
        <v>15</v>
      </c>
      <c r="P368" s="18" t="s">
        <v>61</v>
      </c>
      <c r="Q368" s="18" t="s">
        <v>15</v>
      </c>
      <c r="R368" s="18" t="s">
        <v>3171</v>
      </c>
      <c r="S368" s="18" t="s">
        <v>15</v>
      </c>
    </row>
    <row r="369" spans="1:19" x14ac:dyDescent="0.25">
      <c r="A369" s="17">
        <v>368</v>
      </c>
      <c r="B369" s="18" t="s">
        <v>15</v>
      </c>
      <c r="C369" s="18" t="s">
        <v>15</v>
      </c>
      <c r="D369" s="18" t="s">
        <v>15</v>
      </c>
      <c r="E369" s="18" t="s">
        <v>15</v>
      </c>
      <c r="F369" s="18" t="s">
        <v>15</v>
      </c>
      <c r="G369" s="18" t="s">
        <v>61</v>
      </c>
      <c r="H369" s="18" t="s">
        <v>15</v>
      </c>
      <c r="I369" s="18" t="s">
        <v>424</v>
      </c>
      <c r="J369" s="18" t="s">
        <v>3070</v>
      </c>
      <c r="K369" s="18" t="s">
        <v>2837</v>
      </c>
      <c r="L369" s="18" t="s">
        <v>3508</v>
      </c>
      <c r="M369" s="18" t="s">
        <v>15</v>
      </c>
      <c r="N369" s="18" t="s">
        <v>15</v>
      </c>
      <c r="O369" s="18" t="s">
        <v>15</v>
      </c>
      <c r="P369" s="18" t="s">
        <v>61</v>
      </c>
      <c r="Q369" s="18" t="s">
        <v>15</v>
      </c>
      <c r="R369" s="18" t="s">
        <v>3171</v>
      </c>
      <c r="S369" s="18" t="s">
        <v>15</v>
      </c>
    </row>
    <row r="370" spans="1:19" x14ac:dyDescent="0.25">
      <c r="A370" s="17">
        <v>369</v>
      </c>
      <c r="B370" s="18" t="s">
        <v>15</v>
      </c>
      <c r="C370" s="18" t="s">
        <v>15</v>
      </c>
      <c r="D370" s="18" t="s">
        <v>15</v>
      </c>
      <c r="E370" s="18" t="s">
        <v>15</v>
      </c>
      <c r="F370" s="18" t="s">
        <v>15</v>
      </c>
      <c r="G370" s="18" t="s">
        <v>3000</v>
      </c>
      <c r="H370" s="18" t="s">
        <v>3509</v>
      </c>
      <c r="I370" s="18" t="s">
        <v>424</v>
      </c>
      <c r="J370" s="18" t="s">
        <v>3510</v>
      </c>
      <c r="K370" s="18" t="s">
        <v>2943</v>
      </c>
      <c r="L370" s="18" t="s">
        <v>3511</v>
      </c>
      <c r="M370" s="18" t="s">
        <v>15</v>
      </c>
      <c r="N370" s="18" t="s">
        <v>15</v>
      </c>
      <c r="O370" s="18" t="s">
        <v>15</v>
      </c>
      <c r="P370" s="18" t="s">
        <v>1120</v>
      </c>
      <c r="Q370" s="18" t="s">
        <v>15</v>
      </c>
      <c r="R370" s="18" t="s">
        <v>3171</v>
      </c>
      <c r="S370" s="18" t="s">
        <v>15</v>
      </c>
    </row>
    <row r="371" spans="1:19" x14ac:dyDescent="0.25">
      <c r="A371" s="17">
        <v>370</v>
      </c>
      <c r="B371" s="18" t="s">
        <v>15</v>
      </c>
      <c r="C371" s="18" t="s">
        <v>15</v>
      </c>
      <c r="D371" s="18" t="s">
        <v>15</v>
      </c>
      <c r="E371" s="18" t="s">
        <v>15</v>
      </c>
      <c r="F371" s="18" t="s">
        <v>15</v>
      </c>
      <c r="G371" s="18" t="s">
        <v>3000</v>
      </c>
      <c r="H371" s="18" t="s">
        <v>3512</v>
      </c>
      <c r="I371" s="18" t="s">
        <v>424</v>
      </c>
      <c r="J371" s="18" t="s">
        <v>2910</v>
      </c>
      <c r="K371" s="18" t="s">
        <v>2943</v>
      </c>
      <c r="L371" s="18" t="s">
        <v>3513</v>
      </c>
      <c r="M371" s="18" t="s">
        <v>15</v>
      </c>
      <c r="N371" s="18" t="s">
        <v>15</v>
      </c>
      <c r="O371" s="18" t="s">
        <v>15</v>
      </c>
      <c r="P371" s="18" t="s">
        <v>1120</v>
      </c>
      <c r="Q371" s="18" t="s">
        <v>15</v>
      </c>
      <c r="R371" s="18" t="s">
        <v>3171</v>
      </c>
      <c r="S371" s="18" t="s">
        <v>15</v>
      </c>
    </row>
    <row r="372" spans="1:19" x14ac:dyDescent="0.25">
      <c r="A372" s="17">
        <v>371</v>
      </c>
      <c r="B372" s="18" t="s">
        <v>15</v>
      </c>
      <c r="C372" s="18" t="s">
        <v>15</v>
      </c>
      <c r="D372" s="18" t="s">
        <v>15</v>
      </c>
      <c r="E372" s="18" t="s">
        <v>15</v>
      </c>
      <c r="F372" s="18" t="s">
        <v>15</v>
      </c>
      <c r="G372" s="18" t="s">
        <v>3000</v>
      </c>
      <c r="H372" s="18" t="s">
        <v>3514</v>
      </c>
      <c r="I372" s="18" t="s">
        <v>424</v>
      </c>
      <c r="J372" s="18" t="s">
        <v>3515</v>
      </c>
      <c r="K372" s="18" t="s">
        <v>2943</v>
      </c>
      <c r="L372" s="18" t="s">
        <v>3516</v>
      </c>
      <c r="M372" s="18" t="s">
        <v>15</v>
      </c>
      <c r="N372" s="18" t="s">
        <v>15</v>
      </c>
      <c r="O372" s="18" t="s">
        <v>15</v>
      </c>
      <c r="P372" s="18" t="s">
        <v>1120</v>
      </c>
      <c r="Q372" s="18" t="s">
        <v>15</v>
      </c>
      <c r="R372" s="18" t="s">
        <v>3171</v>
      </c>
      <c r="S372" s="18" t="s">
        <v>15</v>
      </c>
    </row>
    <row r="373" spans="1:19" x14ac:dyDescent="0.25">
      <c r="A373" s="17">
        <v>372</v>
      </c>
      <c r="B373" s="18" t="s">
        <v>15</v>
      </c>
      <c r="C373" s="18" t="s">
        <v>15</v>
      </c>
      <c r="D373" s="18" t="s">
        <v>15</v>
      </c>
      <c r="E373" s="18" t="s">
        <v>15</v>
      </c>
      <c r="F373" s="18" t="s">
        <v>15</v>
      </c>
      <c r="G373" s="18" t="s">
        <v>3000</v>
      </c>
      <c r="H373" s="18" t="s">
        <v>3517</v>
      </c>
      <c r="I373" s="18" t="s">
        <v>424</v>
      </c>
      <c r="J373" s="18" t="s">
        <v>3518</v>
      </c>
      <c r="K373" s="18" t="s">
        <v>2943</v>
      </c>
      <c r="L373" s="18" t="s">
        <v>3519</v>
      </c>
      <c r="M373" s="18" t="s">
        <v>15</v>
      </c>
      <c r="N373" s="18" t="s">
        <v>15</v>
      </c>
      <c r="O373" s="18" t="s">
        <v>15</v>
      </c>
      <c r="P373" s="18" t="s">
        <v>1120</v>
      </c>
      <c r="Q373" s="18" t="s">
        <v>15</v>
      </c>
      <c r="R373" s="18" t="s">
        <v>3171</v>
      </c>
      <c r="S373" s="18" t="s">
        <v>15</v>
      </c>
    </row>
    <row r="374" spans="1:19" x14ac:dyDescent="0.25">
      <c r="A374" s="17">
        <v>373</v>
      </c>
      <c r="B374" s="18" t="s">
        <v>15</v>
      </c>
      <c r="C374" s="18" t="s">
        <v>15</v>
      </c>
      <c r="D374" s="18" t="s">
        <v>15</v>
      </c>
      <c r="E374" s="18" t="s">
        <v>15</v>
      </c>
      <c r="F374" s="18" t="s">
        <v>15</v>
      </c>
      <c r="G374" s="18" t="s">
        <v>3000</v>
      </c>
      <c r="H374" s="18" t="s">
        <v>3520</v>
      </c>
      <c r="I374" s="18" t="s">
        <v>424</v>
      </c>
      <c r="J374" s="18" t="s">
        <v>3082</v>
      </c>
      <c r="K374" s="18" t="s">
        <v>2943</v>
      </c>
      <c r="L374" s="18" t="s">
        <v>3521</v>
      </c>
      <c r="M374" s="18" t="s">
        <v>15</v>
      </c>
      <c r="N374" s="18" t="s">
        <v>15</v>
      </c>
      <c r="O374" s="18" t="s">
        <v>15</v>
      </c>
      <c r="P374" s="18" t="s">
        <v>1120</v>
      </c>
      <c r="Q374" s="18" t="s">
        <v>15</v>
      </c>
      <c r="R374" s="18" t="s">
        <v>3171</v>
      </c>
      <c r="S374" s="18" t="s">
        <v>15</v>
      </c>
    </row>
    <row r="375" spans="1:19" x14ac:dyDescent="0.25">
      <c r="A375" s="17">
        <v>374</v>
      </c>
      <c r="B375" s="18" t="s">
        <v>15</v>
      </c>
      <c r="C375" s="18" t="s">
        <v>15</v>
      </c>
      <c r="D375" s="18" t="s">
        <v>15</v>
      </c>
      <c r="E375" s="18" t="s">
        <v>15</v>
      </c>
      <c r="F375" s="18" t="s">
        <v>15</v>
      </c>
      <c r="G375" s="18" t="s">
        <v>3000</v>
      </c>
      <c r="H375" s="18" t="s">
        <v>3522</v>
      </c>
      <c r="I375" s="18" t="s">
        <v>424</v>
      </c>
      <c r="J375" s="18" t="s">
        <v>3054</v>
      </c>
      <c r="K375" s="18" t="s">
        <v>2943</v>
      </c>
      <c r="L375" s="18" t="s">
        <v>3523</v>
      </c>
      <c r="M375" s="18" t="s">
        <v>15</v>
      </c>
      <c r="N375" s="18" t="s">
        <v>15</v>
      </c>
      <c r="O375" s="18" t="s">
        <v>15</v>
      </c>
      <c r="P375" s="18" t="s">
        <v>1120</v>
      </c>
      <c r="Q375" s="18" t="s">
        <v>15</v>
      </c>
      <c r="R375" s="18" t="s">
        <v>3171</v>
      </c>
      <c r="S375" s="18" t="s">
        <v>15</v>
      </c>
    </row>
    <row r="376" spans="1:19" x14ac:dyDescent="0.25">
      <c r="A376" s="17">
        <v>375</v>
      </c>
      <c r="B376" s="18" t="s">
        <v>15</v>
      </c>
      <c r="C376" s="18" t="s">
        <v>15</v>
      </c>
      <c r="D376" s="18" t="s">
        <v>15</v>
      </c>
      <c r="E376" s="18" t="s">
        <v>15</v>
      </c>
      <c r="F376" s="18" t="s">
        <v>15</v>
      </c>
      <c r="G376" s="18" t="s">
        <v>3000</v>
      </c>
      <c r="H376" s="18" t="s">
        <v>3524</v>
      </c>
      <c r="I376" s="18" t="s">
        <v>424</v>
      </c>
      <c r="J376" s="18" t="s">
        <v>2868</v>
      </c>
      <c r="K376" s="18" t="s">
        <v>2943</v>
      </c>
      <c r="L376" s="18" t="s">
        <v>3525</v>
      </c>
      <c r="M376" s="18" t="s">
        <v>15</v>
      </c>
      <c r="N376" s="18" t="s">
        <v>15</v>
      </c>
      <c r="O376" s="18" t="s">
        <v>15</v>
      </c>
      <c r="P376" s="18" t="s">
        <v>1120</v>
      </c>
      <c r="Q376" s="18" t="s">
        <v>15</v>
      </c>
      <c r="R376" s="18" t="s">
        <v>3171</v>
      </c>
      <c r="S376" s="18" t="s">
        <v>15</v>
      </c>
    </row>
    <row r="377" spans="1:19" x14ac:dyDescent="0.25">
      <c r="A377" s="17">
        <v>376</v>
      </c>
      <c r="B377" s="18" t="s">
        <v>15</v>
      </c>
      <c r="C377" s="18" t="s">
        <v>15</v>
      </c>
      <c r="D377" s="18" t="s">
        <v>15</v>
      </c>
      <c r="E377" s="18" t="s">
        <v>15</v>
      </c>
      <c r="F377" s="18" t="s">
        <v>15</v>
      </c>
      <c r="G377" s="18" t="s">
        <v>3000</v>
      </c>
      <c r="H377" s="18" t="s">
        <v>3526</v>
      </c>
      <c r="I377" s="18" t="s">
        <v>424</v>
      </c>
      <c r="J377" s="18" t="s">
        <v>3527</v>
      </c>
      <c r="K377" s="18" t="s">
        <v>2943</v>
      </c>
      <c r="L377" s="18" t="s">
        <v>3528</v>
      </c>
      <c r="M377" s="18" t="s">
        <v>15</v>
      </c>
      <c r="N377" s="18" t="s">
        <v>15</v>
      </c>
      <c r="O377" s="18" t="s">
        <v>15</v>
      </c>
      <c r="P377" s="18" t="s">
        <v>1120</v>
      </c>
      <c r="Q377" s="18" t="s">
        <v>15</v>
      </c>
      <c r="R377" s="18" t="s">
        <v>3171</v>
      </c>
      <c r="S377" s="18" t="s">
        <v>15</v>
      </c>
    </row>
    <row r="378" spans="1:19" x14ac:dyDescent="0.25">
      <c r="A378" s="17">
        <v>377</v>
      </c>
      <c r="B378" s="18" t="s">
        <v>15</v>
      </c>
      <c r="C378" s="18" t="s">
        <v>15</v>
      </c>
      <c r="D378" s="18" t="s">
        <v>15</v>
      </c>
      <c r="E378" s="18" t="s">
        <v>15</v>
      </c>
      <c r="F378" s="18" t="s">
        <v>15</v>
      </c>
      <c r="G378" s="18" t="s">
        <v>3000</v>
      </c>
      <c r="H378" s="18" t="s">
        <v>3529</v>
      </c>
      <c r="I378" s="18" t="s">
        <v>424</v>
      </c>
      <c r="J378" s="18" t="s">
        <v>3067</v>
      </c>
      <c r="K378" s="18" t="s">
        <v>2943</v>
      </c>
      <c r="L378" s="18" t="s">
        <v>3530</v>
      </c>
      <c r="M378" s="18" t="s">
        <v>15</v>
      </c>
      <c r="N378" s="18" t="s">
        <v>15</v>
      </c>
      <c r="O378" s="18" t="s">
        <v>15</v>
      </c>
      <c r="P378" s="18" t="s">
        <v>1120</v>
      </c>
      <c r="Q378" s="18" t="s">
        <v>15</v>
      </c>
      <c r="R378" s="18" t="s">
        <v>3171</v>
      </c>
      <c r="S378" s="18" t="s">
        <v>15</v>
      </c>
    </row>
    <row r="379" spans="1:19" x14ac:dyDescent="0.25">
      <c r="A379" s="17">
        <v>378</v>
      </c>
      <c r="B379" s="18" t="s">
        <v>15</v>
      </c>
      <c r="C379" s="18" t="s">
        <v>15</v>
      </c>
      <c r="D379" s="18" t="s">
        <v>15</v>
      </c>
      <c r="E379" s="18" t="s">
        <v>15</v>
      </c>
      <c r="F379" s="18" t="s">
        <v>15</v>
      </c>
      <c r="G379" s="18" t="s">
        <v>121</v>
      </c>
      <c r="H379" s="18" t="s">
        <v>15</v>
      </c>
      <c r="I379" s="18" t="s">
        <v>424</v>
      </c>
      <c r="J379" s="18" t="s">
        <v>3531</v>
      </c>
      <c r="K379" s="18" t="s">
        <v>2943</v>
      </c>
      <c r="L379" s="18" t="s">
        <v>3532</v>
      </c>
      <c r="M379" s="18" t="s">
        <v>15</v>
      </c>
      <c r="N379" s="18" t="s">
        <v>15</v>
      </c>
      <c r="O379" s="18" t="s">
        <v>15</v>
      </c>
      <c r="P379" s="18" t="s">
        <v>15</v>
      </c>
      <c r="Q379" s="18" t="s">
        <v>15</v>
      </c>
      <c r="R379" s="18" t="s">
        <v>3171</v>
      </c>
      <c r="S379" s="18" t="s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E9ED-026A-4186-9279-E65D881D3F7B}">
  <dimension ref="A1:T53"/>
  <sheetViews>
    <sheetView workbookViewId="0">
      <selection activeCell="Q1" sqref="Q1:T1"/>
    </sheetView>
  </sheetViews>
  <sheetFormatPr defaultColWidth="66.7109375" defaultRowHeight="15" x14ac:dyDescent="0.25"/>
  <cols>
    <col min="1" max="1" width="9.5703125" style="3" bestFit="1" customWidth="1"/>
    <col min="2" max="2" width="60.42578125" style="3" bestFit="1" customWidth="1"/>
    <col min="3" max="3" width="10.42578125" style="3" bestFit="1" customWidth="1"/>
    <col min="4" max="4" width="11.42578125" style="3" bestFit="1" customWidth="1"/>
    <col min="5" max="5" width="12.7109375" style="3" bestFit="1" customWidth="1"/>
    <col min="6" max="6" width="13.85546875" style="3" bestFit="1" customWidth="1"/>
    <col min="7" max="7" width="18.5703125" style="3" bestFit="1" customWidth="1"/>
    <col min="8" max="8" width="24.42578125" style="3" bestFit="1" customWidth="1"/>
    <col min="9" max="9" width="31.28515625" style="3" bestFit="1" customWidth="1"/>
    <col min="10" max="10" width="6.5703125" style="3" bestFit="1" customWidth="1"/>
    <col min="11" max="11" width="9.5703125" style="3" bestFit="1" customWidth="1"/>
    <col min="12" max="12" width="13.85546875" style="3" bestFit="1" customWidth="1"/>
    <col min="13" max="13" width="7.85546875" style="3" bestFit="1" customWidth="1"/>
    <col min="14" max="14" width="8.5703125" style="3" bestFit="1" customWidth="1"/>
    <col min="15" max="15" width="15.140625" style="3" bestFit="1" customWidth="1"/>
    <col min="16" max="16" width="32.140625" style="3" bestFit="1" customWidth="1"/>
    <col min="17" max="16384" width="66.7109375" style="3"/>
  </cols>
  <sheetData>
    <row r="1" spans="1:20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416</v>
      </c>
      <c r="L1" s="19" t="s">
        <v>2690</v>
      </c>
      <c r="M1" s="19" t="s">
        <v>11</v>
      </c>
      <c r="N1" s="19" t="s">
        <v>12</v>
      </c>
      <c r="O1" s="19" t="s">
        <v>13</v>
      </c>
      <c r="P1" s="19" t="s">
        <v>14</v>
      </c>
      <c r="Q1" s="27" t="s">
        <v>61</v>
      </c>
      <c r="R1" s="27" t="s">
        <v>1971</v>
      </c>
      <c r="S1" s="27" t="s">
        <v>1120</v>
      </c>
      <c r="T1" s="27" t="s">
        <v>521</v>
      </c>
    </row>
    <row r="2" spans="1:20" x14ac:dyDescent="0.25">
      <c r="A2" s="20">
        <v>1</v>
      </c>
      <c r="B2" s="21" t="s">
        <v>15</v>
      </c>
      <c r="C2" s="21" t="s">
        <v>15</v>
      </c>
      <c r="D2" s="21" t="s">
        <v>15</v>
      </c>
      <c r="E2" s="21" t="s">
        <v>15</v>
      </c>
      <c r="F2" s="21" t="s">
        <v>15</v>
      </c>
      <c r="G2" s="21" t="s">
        <v>3533</v>
      </c>
      <c r="H2" s="21" t="s">
        <v>3534</v>
      </c>
      <c r="I2" s="21" t="s">
        <v>15</v>
      </c>
      <c r="J2" s="21" t="s">
        <v>15</v>
      </c>
      <c r="K2" s="21" t="s">
        <v>15</v>
      </c>
      <c r="L2" s="21" t="s">
        <v>15</v>
      </c>
      <c r="M2" s="21" t="s">
        <v>15</v>
      </c>
      <c r="N2" s="21" t="s">
        <v>15</v>
      </c>
      <c r="O2" s="21" t="s">
        <v>15</v>
      </c>
      <c r="P2" s="21" t="s">
        <v>3535</v>
      </c>
    </row>
    <row r="3" spans="1:20" x14ac:dyDescent="0.25">
      <c r="A3" s="20">
        <v>2</v>
      </c>
      <c r="B3" s="21" t="s">
        <v>15</v>
      </c>
      <c r="C3" s="21" t="s">
        <v>15</v>
      </c>
      <c r="D3" s="21" t="s">
        <v>15</v>
      </c>
      <c r="E3" s="21" t="s">
        <v>15</v>
      </c>
      <c r="F3" s="21" t="s">
        <v>15</v>
      </c>
      <c r="G3" s="21" t="s">
        <v>3533</v>
      </c>
      <c r="H3" s="21" t="s">
        <v>3536</v>
      </c>
      <c r="I3" s="21" t="s">
        <v>15</v>
      </c>
      <c r="J3" s="21" t="s">
        <v>15</v>
      </c>
      <c r="K3" s="21" t="s">
        <v>15</v>
      </c>
      <c r="L3" s="21" t="s">
        <v>15</v>
      </c>
      <c r="M3" s="21" t="s">
        <v>15</v>
      </c>
      <c r="N3" s="21" t="s">
        <v>15</v>
      </c>
      <c r="O3" s="21" t="s">
        <v>15</v>
      </c>
      <c r="P3" s="21" t="s">
        <v>3537</v>
      </c>
    </row>
    <row r="4" spans="1:20" x14ac:dyDescent="0.25">
      <c r="A4" s="20">
        <v>3</v>
      </c>
      <c r="B4" s="21" t="s">
        <v>15</v>
      </c>
      <c r="C4" s="21" t="s">
        <v>15</v>
      </c>
      <c r="D4" s="21" t="s">
        <v>15</v>
      </c>
      <c r="E4" s="21" t="s">
        <v>15</v>
      </c>
      <c r="F4" s="21" t="s">
        <v>15</v>
      </c>
      <c r="G4" s="21" t="s">
        <v>3533</v>
      </c>
      <c r="H4" s="21" t="s">
        <v>3538</v>
      </c>
      <c r="I4" s="21" t="s">
        <v>15</v>
      </c>
      <c r="J4" s="21" t="s">
        <v>15</v>
      </c>
      <c r="K4" s="21" t="s">
        <v>15</v>
      </c>
      <c r="L4" s="21" t="s">
        <v>15</v>
      </c>
      <c r="M4" s="21" t="s">
        <v>15</v>
      </c>
      <c r="N4" s="21" t="s">
        <v>15</v>
      </c>
      <c r="O4" s="21" t="s">
        <v>15</v>
      </c>
      <c r="P4" s="21" t="s">
        <v>3539</v>
      </c>
    </row>
    <row r="5" spans="1:20" x14ac:dyDescent="0.25">
      <c r="A5" s="20">
        <v>4</v>
      </c>
      <c r="B5" s="21" t="s">
        <v>15</v>
      </c>
      <c r="C5" s="21" t="s">
        <v>15</v>
      </c>
      <c r="D5" s="21" t="s">
        <v>15</v>
      </c>
      <c r="E5" s="21" t="s">
        <v>15</v>
      </c>
      <c r="F5" s="21" t="s">
        <v>15</v>
      </c>
      <c r="G5" s="21" t="s">
        <v>3533</v>
      </c>
      <c r="H5" s="21" t="s">
        <v>3540</v>
      </c>
      <c r="I5" s="21" t="s">
        <v>15</v>
      </c>
      <c r="J5" s="21" t="s">
        <v>15</v>
      </c>
      <c r="K5" s="21" t="s">
        <v>15</v>
      </c>
      <c r="L5" s="21" t="s">
        <v>15</v>
      </c>
      <c r="M5" s="21" t="s">
        <v>15</v>
      </c>
      <c r="N5" s="21" t="s">
        <v>15</v>
      </c>
      <c r="O5" s="21" t="s">
        <v>15</v>
      </c>
      <c r="P5" s="21" t="s">
        <v>3541</v>
      </c>
    </row>
    <row r="6" spans="1:20" x14ac:dyDescent="0.25">
      <c r="A6" s="20">
        <v>5</v>
      </c>
      <c r="B6" s="21" t="s">
        <v>15</v>
      </c>
      <c r="C6" s="21" t="s">
        <v>15</v>
      </c>
      <c r="D6" s="21" t="s">
        <v>15</v>
      </c>
      <c r="E6" s="21" t="s">
        <v>15</v>
      </c>
      <c r="F6" s="21" t="s">
        <v>15</v>
      </c>
      <c r="G6" s="21" t="s">
        <v>3533</v>
      </c>
      <c r="H6" s="21" t="s">
        <v>3542</v>
      </c>
      <c r="I6" s="21" t="s">
        <v>15</v>
      </c>
      <c r="J6" s="21" t="s">
        <v>15</v>
      </c>
      <c r="K6" s="21" t="s">
        <v>15</v>
      </c>
      <c r="L6" s="21" t="s">
        <v>15</v>
      </c>
      <c r="M6" s="21" t="s">
        <v>15</v>
      </c>
      <c r="N6" s="21" t="s">
        <v>15</v>
      </c>
      <c r="O6" s="21" t="s">
        <v>15</v>
      </c>
      <c r="P6" s="21" t="s">
        <v>3543</v>
      </c>
    </row>
    <row r="7" spans="1:20" x14ac:dyDescent="0.25">
      <c r="A7" s="20">
        <v>6</v>
      </c>
      <c r="B7" s="21" t="s">
        <v>15</v>
      </c>
      <c r="C7" s="21" t="s">
        <v>15</v>
      </c>
      <c r="D7" s="21" t="s">
        <v>15</v>
      </c>
      <c r="E7" s="21" t="s">
        <v>15</v>
      </c>
      <c r="F7" s="21" t="s">
        <v>15</v>
      </c>
      <c r="G7" s="21" t="s">
        <v>15</v>
      </c>
      <c r="H7" s="21" t="s">
        <v>3544</v>
      </c>
      <c r="I7" s="21" t="s">
        <v>15</v>
      </c>
      <c r="J7" s="21" t="s">
        <v>15</v>
      </c>
      <c r="K7" s="21" t="s">
        <v>15</v>
      </c>
      <c r="L7" s="21" t="s">
        <v>15</v>
      </c>
      <c r="M7" s="21" t="s">
        <v>15</v>
      </c>
      <c r="N7" s="21" t="s">
        <v>15</v>
      </c>
      <c r="O7" s="21" t="s">
        <v>15</v>
      </c>
      <c r="P7" s="21" t="s">
        <v>3545</v>
      </c>
    </row>
    <row r="8" spans="1:20" x14ac:dyDescent="0.25">
      <c r="A8" s="20">
        <v>7</v>
      </c>
      <c r="B8" s="21" t="s">
        <v>15</v>
      </c>
      <c r="C8" s="21" t="s">
        <v>15</v>
      </c>
      <c r="D8" s="21" t="s">
        <v>15</v>
      </c>
      <c r="E8" s="21" t="s">
        <v>15</v>
      </c>
      <c r="F8" s="21" t="s">
        <v>15</v>
      </c>
      <c r="G8" s="21" t="s">
        <v>3546</v>
      </c>
      <c r="H8" s="21" t="s">
        <v>3547</v>
      </c>
      <c r="I8" s="21" t="s">
        <v>15</v>
      </c>
      <c r="J8" s="21" t="s">
        <v>15</v>
      </c>
      <c r="K8" s="21" t="s">
        <v>15</v>
      </c>
      <c r="L8" s="21" t="s">
        <v>15</v>
      </c>
      <c r="M8" s="21" t="s">
        <v>15</v>
      </c>
      <c r="N8" s="21" t="s">
        <v>15</v>
      </c>
      <c r="O8" s="21" t="s">
        <v>15</v>
      </c>
      <c r="P8" s="21" t="s">
        <v>3548</v>
      </c>
    </row>
    <row r="9" spans="1:20" x14ac:dyDescent="0.25">
      <c r="A9" s="20">
        <v>8</v>
      </c>
      <c r="B9" s="21" t="s">
        <v>3549</v>
      </c>
      <c r="C9" s="21" t="s">
        <v>15</v>
      </c>
      <c r="D9" s="21" t="s">
        <v>15</v>
      </c>
      <c r="E9" s="21" t="s">
        <v>15</v>
      </c>
      <c r="F9" s="21" t="s">
        <v>15</v>
      </c>
      <c r="G9" s="21" t="s">
        <v>121</v>
      </c>
      <c r="H9" s="21" t="s">
        <v>15</v>
      </c>
      <c r="I9" s="21" t="s">
        <v>3550</v>
      </c>
      <c r="J9" s="21" t="s">
        <v>15</v>
      </c>
      <c r="K9" s="21" t="s">
        <v>424</v>
      </c>
      <c r="L9" s="21" t="s">
        <v>15</v>
      </c>
      <c r="M9" s="21" t="s">
        <v>15</v>
      </c>
      <c r="N9" s="21" t="s">
        <v>15</v>
      </c>
      <c r="O9" s="21" t="s">
        <v>15</v>
      </c>
      <c r="P9" s="21" t="s">
        <v>3551</v>
      </c>
    </row>
    <row r="10" spans="1:20" x14ac:dyDescent="0.25">
      <c r="A10" s="20">
        <v>9</v>
      </c>
      <c r="B10" s="21" t="s">
        <v>3552</v>
      </c>
      <c r="C10" s="21" t="s">
        <v>15</v>
      </c>
      <c r="D10" s="21" t="s">
        <v>15</v>
      </c>
      <c r="E10" s="21" t="s">
        <v>15</v>
      </c>
      <c r="F10" s="21" t="s">
        <v>15</v>
      </c>
      <c r="G10" s="21" t="s">
        <v>121</v>
      </c>
      <c r="H10" s="21" t="s">
        <v>15</v>
      </c>
      <c r="I10" s="21" t="s">
        <v>3553</v>
      </c>
      <c r="J10" s="21" t="s">
        <v>15</v>
      </c>
      <c r="K10" s="21" t="s">
        <v>424</v>
      </c>
      <c r="L10" s="21" t="s">
        <v>15</v>
      </c>
      <c r="M10" s="21" t="s">
        <v>15</v>
      </c>
      <c r="N10" s="21" t="s">
        <v>15</v>
      </c>
      <c r="O10" s="21" t="s">
        <v>15</v>
      </c>
      <c r="P10" s="21" t="s">
        <v>3554</v>
      </c>
    </row>
    <row r="11" spans="1:20" x14ac:dyDescent="0.25">
      <c r="A11" s="20">
        <v>10</v>
      </c>
      <c r="B11" s="21" t="s">
        <v>3555</v>
      </c>
      <c r="C11" s="21" t="s">
        <v>15</v>
      </c>
      <c r="D11" s="21" t="s">
        <v>15</v>
      </c>
      <c r="E11" s="21" t="s">
        <v>15</v>
      </c>
      <c r="F11" s="21" t="s">
        <v>15</v>
      </c>
      <c r="G11" s="21" t="s">
        <v>121</v>
      </c>
      <c r="H11" s="21" t="s">
        <v>15</v>
      </c>
      <c r="I11" s="21" t="s">
        <v>3556</v>
      </c>
      <c r="J11" s="21" t="s">
        <v>15</v>
      </c>
      <c r="K11" s="21" t="s">
        <v>424</v>
      </c>
      <c r="L11" s="21" t="s">
        <v>15</v>
      </c>
      <c r="M11" s="21" t="s">
        <v>15</v>
      </c>
      <c r="N11" s="21" t="s">
        <v>15</v>
      </c>
      <c r="O11" s="21" t="s">
        <v>15</v>
      </c>
      <c r="P11" s="21" t="s">
        <v>3557</v>
      </c>
    </row>
    <row r="12" spans="1:20" x14ac:dyDescent="0.25">
      <c r="A12" s="20">
        <v>11</v>
      </c>
      <c r="B12" s="21" t="s">
        <v>3558</v>
      </c>
      <c r="C12" s="21" t="s">
        <v>15</v>
      </c>
      <c r="D12" s="21" t="s">
        <v>15</v>
      </c>
      <c r="E12" s="21" t="s">
        <v>15</v>
      </c>
      <c r="F12" s="21" t="s">
        <v>15</v>
      </c>
      <c r="G12" s="21" t="s">
        <v>121</v>
      </c>
      <c r="H12" s="21" t="s">
        <v>15</v>
      </c>
      <c r="I12" s="21" t="s">
        <v>3559</v>
      </c>
      <c r="J12" s="21" t="s">
        <v>15</v>
      </c>
      <c r="K12" s="21" t="s">
        <v>424</v>
      </c>
      <c r="L12" s="21" t="s">
        <v>15</v>
      </c>
      <c r="M12" s="21" t="s">
        <v>15</v>
      </c>
      <c r="N12" s="21" t="s">
        <v>15</v>
      </c>
      <c r="O12" s="21" t="s">
        <v>15</v>
      </c>
      <c r="P12" s="21" t="s">
        <v>3560</v>
      </c>
    </row>
    <row r="13" spans="1:20" x14ac:dyDescent="0.25">
      <c r="A13" s="20">
        <v>12</v>
      </c>
      <c r="B13" s="21" t="s">
        <v>3561</v>
      </c>
      <c r="C13" s="21" t="s">
        <v>15</v>
      </c>
      <c r="D13" s="21" t="s">
        <v>15</v>
      </c>
      <c r="E13" s="21" t="s">
        <v>15</v>
      </c>
      <c r="F13" s="21" t="s">
        <v>15</v>
      </c>
      <c r="G13" s="21" t="s">
        <v>121</v>
      </c>
      <c r="H13" s="21" t="s">
        <v>15</v>
      </c>
      <c r="I13" s="21" t="s">
        <v>3562</v>
      </c>
      <c r="J13" s="21" t="s">
        <v>15</v>
      </c>
      <c r="K13" s="21" t="s">
        <v>424</v>
      </c>
      <c r="L13" s="21" t="s">
        <v>15</v>
      </c>
      <c r="M13" s="21" t="s">
        <v>15</v>
      </c>
      <c r="N13" s="21" t="s">
        <v>15</v>
      </c>
      <c r="O13" s="21" t="s">
        <v>15</v>
      </c>
      <c r="P13" s="21" t="s">
        <v>3563</v>
      </c>
    </row>
    <row r="14" spans="1:20" x14ac:dyDescent="0.25">
      <c r="A14" s="20">
        <v>13</v>
      </c>
      <c r="B14" s="21" t="s">
        <v>3564</v>
      </c>
      <c r="C14" s="21" t="s">
        <v>15</v>
      </c>
      <c r="D14" s="21" t="s">
        <v>15</v>
      </c>
      <c r="E14" s="21" t="s">
        <v>15</v>
      </c>
      <c r="F14" s="21" t="s">
        <v>15</v>
      </c>
      <c r="G14" s="21" t="s">
        <v>121</v>
      </c>
      <c r="H14" s="21" t="s">
        <v>15</v>
      </c>
      <c r="I14" s="21" t="s">
        <v>3565</v>
      </c>
      <c r="J14" s="21" t="s">
        <v>15</v>
      </c>
      <c r="K14" s="21" t="s">
        <v>424</v>
      </c>
      <c r="L14" s="21" t="s">
        <v>15</v>
      </c>
      <c r="M14" s="21" t="s">
        <v>15</v>
      </c>
      <c r="N14" s="21" t="s">
        <v>15</v>
      </c>
      <c r="O14" s="21" t="s">
        <v>15</v>
      </c>
      <c r="P14" s="21" t="s">
        <v>3566</v>
      </c>
    </row>
    <row r="15" spans="1:20" x14ac:dyDescent="0.25">
      <c r="A15" s="20">
        <v>14</v>
      </c>
      <c r="B15" s="21" t="s">
        <v>3567</v>
      </c>
      <c r="C15" s="21" t="s">
        <v>15</v>
      </c>
      <c r="D15" s="21" t="s">
        <v>15</v>
      </c>
      <c r="E15" s="21" t="s">
        <v>15</v>
      </c>
      <c r="F15" s="21" t="s">
        <v>15</v>
      </c>
      <c r="G15" s="21" t="s">
        <v>121</v>
      </c>
      <c r="H15" s="21" t="s">
        <v>15</v>
      </c>
      <c r="I15" s="21" t="s">
        <v>3568</v>
      </c>
      <c r="J15" s="21" t="s">
        <v>15</v>
      </c>
      <c r="K15" s="21" t="s">
        <v>424</v>
      </c>
      <c r="L15" s="21" t="s">
        <v>15</v>
      </c>
      <c r="M15" s="21" t="s">
        <v>15</v>
      </c>
      <c r="N15" s="21" t="s">
        <v>15</v>
      </c>
      <c r="O15" s="21" t="s">
        <v>15</v>
      </c>
      <c r="P15" s="21" t="s">
        <v>3569</v>
      </c>
    </row>
    <row r="16" spans="1:20" x14ac:dyDescent="0.25">
      <c r="A16" s="20">
        <v>15</v>
      </c>
      <c r="B16" s="21" t="s">
        <v>3570</v>
      </c>
      <c r="C16" s="21" t="s">
        <v>15</v>
      </c>
      <c r="D16" s="21" t="s">
        <v>15</v>
      </c>
      <c r="E16" s="21" t="s">
        <v>15</v>
      </c>
      <c r="F16" s="21" t="s">
        <v>15</v>
      </c>
      <c r="G16" s="21" t="s">
        <v>121</v>
      </c>
      <c r="H16" s="21" t="s">
        <v>15</v>
      </c>
      <c r="I16" s="21" t="s">
        <v>3571</v>
      </c>
      <c r="J16" s="21" t="s">
        <v>15</v>
      </c>
      <c r="K16" s="21" t="s">
        <v>424</v>
      </c>
      <c r="L16" s="21" t="s">
        <v>15</v>
      </c>
      <c r="M16" s="21" t="s">
        <v>15</v>
      </c>
      <c r="N16" s="21" t="s">
        <v>15</v>
      </c>
      <c r="O16" s="21" t="s">
        <v>15</v>
      </c>
      <c r="P16" s="21" t="s">
        <v>3572</v>
      </c>
    </row>
    <row r="17" spans="1:16" x14ac:dyDescent="0.25">
      <c r="A17" s="20">
        <v>16</v>
      </c>
      <c r="B17" s="21" t="s">
        <v>3573</v>
      </c>
      <c r="C17" s="21" t="s">
        <v>15</v>
      </c>
      <c r="D17" s="21" t="s">
        <v>15</v>
      </c>
      <c r="E17" s="21" t="s">
        <v>15</v>
      </c>
      <c r="F17" s="21" t="s">
        <v>15</v>
      </c>
      <c r="G17" s="21" t="s">
        <v>121</v>
      </c>
      <c r="H17" s="21" t="s">
        <v>15</v>
      </c>
      <c r="I17" s="21" t="s">
        <v>3574</v>
      </c>
      <c r="J17" s="21" t="s">
        <v>15</v>
      </c>
      <c r="K17" s="21" t="s">
        <v>424</v>
      </c>
      <c r="L17" s="21" t="s">
        <v>15</v>
      </c>
      <c r="M17" s="21" t="s">
        <v>15</v>
      </c>
      <c r="N17" s="21" t="s">
        <v>15</v>
      </c>
      <c r="O17" s="21" t="s">
        <v>15</v>
      </c>
      <c r="P17" s="21" t="s">
        <v>3575</v>
      </c>
    </row>
    <row r="18" spans="1:16" x14ac:dyDescent="0.25">
      <c r="A18" s="20">
        <v>17</v>
      </c>
      <c r="B18" s="21" t="s">
        <v>3576</v>
      </c>
      <c r="C18" s="21" t="s">
        <v>15</v>
      </c>
      <c r="D18" s="21" t="s">
        <v>15</v>
      </c>
      <c r="E18" s="21" t="s">
        <v>15</v>
      </c>
      <c r="F18" s="21" t="s">
        <v>15</v>
      </c>
      <c r="G18" s="21" t="s">
        <v>121</v>
      </c>
      <c r="H18" s="21" t="s">
        <v>15</v>
      </c>
      <c r="I18" s="21" t="s">
        <v>3577</v>
      </c>
      <c r="J18" s="21" t="s">
        <v>15</v>
      </c>
      <c r="K18" s="21" t="s">
        <v>424</v>
      </c>
      <c r="L18" s="21" t="s">
        <v>15</v>
      </c>
      <c r="M18" s="21" t="s">
        <v>15</v>
      </c>
      <c r="N18" s="21" t="s">
        <v>15</v>
      </c>
      <c r="O18" s="21" t="s">
        <v>15</v>
      </c>
      <c r="P18" s="21" t="s">
        <v>3578</v>
      </c>
    </row>
    <row r="19" spans="1:16" x14ac:dyDescent="0.25">
      <c r="A19" s="20">
        <v>18</v>
      </c>
      <c r="B19" s="21" t="s">
        <v>3579</v>
      </c>
      <c r="C19" s="21" t="s">
        <v>15</v>
      </c>
      <c r="D19" s="21" t="s">
        <v>15</v>
      </c>
      <c r="E19" s="21" t="s">
        <v>15</v>
      </c>
      <c r="F19" s="21" t="s">
        <v>15</v>
      </c>
      <c r="G19" s="21" t="s">
        <v>121</v>
      </c>
      <c r="H19" s="21" t="s">
        <v>15</v>
      </c>
      <c r="I19" s="21" t="s">
        <v>3580</v>
      </c>
      <c r="J19" s="21" t="s">
        <v>15</v>
      </c>
      <c r="K19" s="21" t="s">
        <v>424</v>
      </c>
      <c r="L19" s="21" t="s">
        <v>15</v>
      </c>
      <c r="M19" s="21" t="s">
        <v>15</v>
      </c>
      <c r="N19" s="21" t="s">
        <v>15</v>
      </c>
      <c r="O19" s="21" t="s">
        <v>15</v>
      </c>
      <c r="P19" s="21" t="s">
        <v>3581</v>
      </c>
    </row>
    <row r="20" spans="1:16" x14ac:dyDescent="0.25">
      <c r="A20" s="20">
        <v>19</v>
      </c>
      <c r="B20" s="21" t="s">
        <v>3582</v>
      </c>
      <c r="C20" s="21" t="s">
        <v>15</v>
      </c>
      <c r="D20" s="21" t="s">
        <v>15</v>
      </c>
      <c r="E20" s="21" t="s">
        <v>15</v>
      </c>
      <c r="F20" s="21" t="s">
        <v>15</v>
      </c>
      <c r="G20" s="21" t="s">
        <v>121</v>
      </c>
      <c r="H20" s="21" t="s">
        <v>15</v>
      </c>
      <c r="I20" s="21" t="s">
        <v>3583</v>
      </c>
      <c r="J20" s="21" t="s">
        <v>15</v>
      </c>
      <c r="K20" s="21" t="s">
        <v>424</v>
      </c>
      <c r="L20" s="21" t="s">
        <v>15</v>
      </c>
      <c r="M20" s="21" t="s">
        <v>15</v>
      </c>
      <c r="N20" s="21" t="s">
        <v>15</v>
      </c>
      <c r="O20" s="21" t="s">
        <v>15</v>
      </c>
      <c r="P20" s="21" t="s">
        <v>3584</v>
      </c>
    </row>
    <row r="21" spans="1:16" x14ac:dyDescent="0.25">
      <c r="A21" s="20">
        <v>20</v>
      </c>
      <c r="B21" s="21" t="s">
        <v>3585</v>
      </c>
      <c r="C21" s="21" t="s">
        <v>15</v>
      </c>
      <c r="D21" s="21" t="s">
        <v>15</v>
      </c>
      <c r="E21" s="21" t="s">
        <v>15</v>
      </c>
      <c r="F21" s="21" t="s">
        <v>15</v>
      </c>
      <c r="G21" s="21" t="s">
        <v>121</v>
      </c>
      <c r="H21" s="21" t="s">
        <v>15</v>
      </c>
      <c r="I21" s="21" t="s">
        <v>3586</v>
      </c>
      <c r="J21" s="21" t="s">
        <v>15</v>
      </c>
      <c r="K21" s="21" t="s">
        <v>3587</v>
      </c>
      <c r="L21" s="21" t="s">
        <v>15</v>
      </c>
      <c r="M21" s="21" t="s">
        <v>15</v>
      </c>
      <c r="N21" s="21" t="s">
        <v>15</v>
      </c>
      <c r="O21" s="21" t="s">
        <v>15</v>
      </c>
      <c r="P21" s="21" t="s">
        <v>3588</v>
      </c>
    </row>
    <row r="22" spans="1:16" x14ac:dyDescent="0.25">
      <c r="A22" s="20">
        <v>21</v>
      </c>
      <c r="B22" s="21" t="s">
        <v>3589</v>
      </c>
      <c r="C22" s="21" t="s">
        <v>15</v>
      </c>
      <c r="D22" s="21" t="s">
        <v>15</v>
      </c>
      <c r="E22" s="21" t="s">
        <v>15</v>
      </c>
      <c r="F22" s="21" t="s">
        <v>15</v>
      </c>
      <c r="G22" s="21" t="s">
        <v>121</v>
      </c>
      <c r="H22" s="21" t="s">
        <v>15</v>
      </c>
      <c r="I22" s="21" t="s">
        <v>3590</v>
      </c>
      <c r="J22" s="21" t="s">
        <v>15</v>
      </c>
      <c r="K22" s="21" t="s">
        <v>3591</v>
      </c>
      <c r="L22" s="21" t="s">
        <v>15</v>
      </c>
      <c r="M22" s="21" t="s">
        <v>15</v>
      </c>
      <c r="N22" s="21" t="s">
        <v>15</v>
      </c>
      <c r="O22" s="21" t="s">
        <v>15</v>
      </c>
      <c r="P22" s="21" t="s">
        <v>3592</v>
      </c>
    </row>
    <row r="23" spans="1:16" x14ac:dyDescent="0.25">
      <c r="A23" s="20">
        <v>22</v>
      </c>
      <c r="B23" s="21" t="s">
        <v>3593</v>
      </c>
      <c r="C23" s="21" t="s">
        <v>15</v>
      </c>
      <c r="D23" s="21" t="s">
        <v>15</v>
      </c>
      <c r="E23" s="21" t="s">
        <v>15</v>
      </c>
      <c r="F23" s="21" t="s">
        <v>15</v>
      </c>
      <c r="G23" s="21" t="s">
        <v>121</v>
      </c>
      <c r="H23" s="21" t="s">
        <v>15</v>
      </c>
      <c r="I23" s="21" t="s">
        <v>3594</v>
      </c>
      <c r="J23" s="21" t="s">
        <v>15</v>
      </c>
      <c r="K23" s="21" t="s">
        <v>3591</v>
      </c>
      <c r="L23" s="21" t="s">
        <v>15</v>
      </c>
      <c r="M23" s="21" t="s">
        <v>15</v>
      </c>
      <c r="N23" s="21" t="s">
        <v>121</v>
      </c>
      <c r="O23" s="21" t="s">
        <v>15</v>
      </c>
      <c r="P23" s="21" t="s">
        <v>3595</v>
      </c>
    </row>
    <row r="24" spans="1:16" x14ac:dyDescent="0.25">
      <c r="A24" s="20">
        <v>23</v>
      </c>
      <c r="B24" s="21" t="s">
        <v>15</v>
      </c>
      <c r="C24" s="21" t="s">
        <v>15</v>
      </c>
      <c r="D24" s="21" t="s">
        <v>15</v>
      </c>
      <c r="E24" s="21" t="s">
        <v>15</v>
      </c>
      <c r="F24" s="21" t="s">
        <v>15</v>
      </c>
      <c r="G24" s="21" t="s">
        <v>2759</v>
      </c>
      <c r="H24" s="21" t="s">
        <v>3596</v>
      </c>
      <c r="I24" s="21" t="s">
        <v>15</v>
      </c>
      <c r="J24" s="21" t="s">
        <v>15</v>
      </c>
      <c r="K24" s="21" t="s">
        <v>15</v>
      </c>
      <c r="L24" s="21" t="s">
        <v>15</v>
      </c>
      <c r="M24" s="21" t="s">
        <v>15</v>
      </c>
      <c r="N24" s="21" t="s">
        <v>1971</v>
      </c>
      <c r="O24" s="21" t="s">
        <v>3597</v>
      </c>
      <c r="P24" s="21" t="s">
        <v>3598</v>
      </c>
    </row>
    <row r="25" spans="1:16" x14ac:dyDescent="0.25">
      <c r="A25" s="20">
        <v>24</v>
      </c>
      <c r="B25" s="21" t="s">
        <v>3599</v>
      </c>
      <c r="C25" s="21" t="s">
        <v>15</v>
      </c>
      <c r="D25" s="21" t="s">
        <v>15</v>
      </c>
      <c r="E25" s="21" t="s">
        <v>15</v>
      </c>
      <c r="F25" s="21" t="s">
        <v>15</v>
      </c>
      <c r="G25" s="21" t="s">
        <v>3600</v>
      </c>
      <c r="H25" s="21" t="s">
        <v>3601</v>
      </c>
      <c r="I25" s="21" t="s">
        <v>15</v>
      </c>
      <c r="J25" s="21" t="s">
        <v>15</v>
      </c>
      <c r="K25" s="21" t="s">
        <v>15</v>
      </c>
      <c r="L25" s="21" t="s">
        <v>15</v>
      </c>
      <c r="M25" s="21" t="s">
        <v>15</v>
      </c>
      <c r="N25" s="21" t="s">
        <v>15</v>
      </c>
      <c r="O25" s="21" t="s">
        <v>15</v>
      </c>
      <c r="P25" s="21" t="s">
        <v>3602</v>
      </c>
    </row>
    <row r="26" spans="1:16" x14ac:dyDescent="0.25">
      <c r="A26" s="20">
        <v>25</v>
      </c>
      <c r="B26" s="21" t="s">
        <v>3603</v>
      </c>
      <c r="C26" s="21" t="s">
        <v>15</v>
      </c>
      <c r="D26" s="21" t="s">
        <v>15</v>
      </c>
      <c r="E26" s="21" t="s">
        <v>15</v>
      </c>
      <c r="F26" s="21" t="s">
        <v>15</v>
      </c>
      <c r="G26" s="21" t="s">
        <v>3604</v>
      </c>
      <c r="H26" s="21" t="s">
        <v>3605</v>
      </c>
      <c r="I26" s="21" t="s">
        <v>15</v>
      </c>
      <c r="J26" s="21" t="s">
        <v>15</v>
      </c>
      <c r="K26" s="21" t="s">
        <v>424</v>
      </c>
      <c r="L26" s="21" t="s">
        <v>3606</v>
      </c>
      <c r="M26" s="21" t="s">
        <v>15</v>
      </c>
      <c r="N26" s="21" t="s">
        <v>1120</v>
      </c>
      <c r="O26" s="21" t="s">
        <v>15</v>
      </c>
      <c r="P26" s="21" t="s">
        <v>3607</v>
      </c>
    </row>
    <row r="27" spans="1:16" x14ac:dyDescent="0.25">
      <c r="A27" s="20">
        <v>26</v>
      </c>
      <c r="B27" s="21" t="s">
        <v>3608</v>
      </c>
      <c r="C27" s="21" t="s">
        <v>15</v>
      </c>
      <c r="D27" s="21" t="s">
        <v>15</v>
      </c>
      <c r="E27" s="21" t="s">
        <v>15</v>
      </c>
      <c r="F27" s="21" t="s">
        <v>15</v>
      </c>
      <c r="G27" s="21" t="s">
        <v>3604</v>
      </c>
      <c r="H27" s="21" t="s">
        <v>3609</v>
      </c>
      <c r="I27" s="21" t="s">
        <v>15</v>
      </c>
      <c r="J27" s="21" t="s">
        <v>15</v>
      </c>
      <c r="K27" s="21" t="s">
        <v>424</v>
      </c>
      <c r="L27" s="21" t="s">
        <v>3606</v>
      </c>
      <c r="M27" s="21" t="s">
        <v>15</v>
      </c>
      <c r="N27" s="21" t="s">
        <v>15</v>
      </c>
      <c r="O27" s="21" t="s">
        <v>15</v>
      </c>
      <c r="P27" s="21" t="s">
        <v>3610</v>
      </c>
    </row>
    <row r="28" spans="1:16" x14ac:dyDescent="0.25">
      <c r="A28" s="20">
        <v>27</v>
      </c>
      <c r="B28" s="21" t="s">
        <v>3611</v>
      </c>
      <c r="C28" s="21" t="s">
        <v>15</v>
      </c>
      <c r="D28" s="21" t="s">
        <v>15</v>
      </c>
      <c r="E28" s="21" t="s">
        <v>15</v>
      </c>
      <c r="F28" s="21" t="s">
        <v>15</v>
      </c>
      <c r="G28" s="21" t="s">
        <v>3604</v>
      </c>
      <c r="H28" s="21" t="s">
        <v>3612</v>
      </c>
      <c r="I28" s="21" t="s">
        <v>15</v>
      </c>
      <c r="J28" s="21" t="s">
        <v>15</v>
      </c>
      <c r="K28" s="21" t="s">
        <v>15</v>
      </c>
      <c r="L28" s="21" t="s">
        <v>15</v>
      </c>
      <c r="M28" s="21" t="s">
        <v>15</v>
      </c>
      <c r="N28" s="21" t="s">
        <v>15</v>
      </c>
      <c r="O28" s="21" t="s">
        <v>15</v>
      </c>
      <c r="P28" s="21" t="s">
        <v>3607</v>
      </c>
    </row>
    <row r="29" spans="1:16" x14ac:dyDescent="0.25">
      <c r="A29" s="20">
        <v>28</v>
      </c>
      <c r="B29" s="21" t="s">
        <v>3613</v>
      </c>
      <c r="C29" s="21" t="s">
        <v>15</v>
      </c>
      <c r="D29" s="21" t="s">
        <v>15</v>
      </c>
      <c r="E29" s="21" t="s">
        <v>15</v>
      </c>
      <c r="F29" s="21" t="s">
        <v>15</v>
      </c>
      <c r="G29" s="21" t="s">
        <v>3604</v>
      </c>
      <c r="H29" s="21" t="s">
        <v>3614</v>
      </c>
      <c r="I29" s="21" t="s">
        <v>15</v>
      </c>
      <c r="J29" s="21" t="s">
        <v>15</v>
      </c>
      <c r="K29" s="21" t="s">
        <v>15</v>
      </c>
      <c r="L29" s="21" t="s">
        <v>15</v>
      </c>
      <c r="M29" s="21" t="s">
        <v>15</v>
      </c>
      <c r="N29" s="21" t="s">
        <v>15</v>
      </c>
      <c r="O29" s="21" t="s">
        <v>15</v>
      </c>
      <c r="P29" s="21" t="s">
        <v>3607</v>
      </c>
    </row>
    <row r="30" spans="1:16" x14ac:dyDescent="0.25">
      <c r="A30" s="20">
        <v>29</v>
      </c>
      <c r="B30" s="21" t="s">
        <v>3615</v>
      </c>
      <c r="C30" s="21" t="s">
        <v>15</v>
      </c>
      <c r="D30" s="21" t="s">
        <v>15</v>
      </c>
      <c r="E30" s="21" t="s">
        <v>15</v>
      </c>
      <c r="F30" s="21" t="s">
        <v>15</v>
      </c>
      <c r="G30" s="21" t="s">
        <v>3604</v>
      </c>
      <c r="H30" s="21" t="s">
        <v>3616</v>
      </c>
      <c r="I30" s="21" t="s">
        <v>15</v>
      </c>
      <c r="J30" s="21" t="s">
        <v>15</v>
      </c>
      <c r="K30" s="21" t="s">
        <v>15</v>
      </c>
      <c r="L30" s="21" t="s">
        <v>15</v>
      </c>
      <c r="M30" s="21" t="s">
        <v>15</v>
      </c>
      <c r="N30" s="21" t="s">
        <v>15</v>
      </c>
      <c r="O30" s="21" t="s">
        <v>15</v>
      </c>
      <c r="P30" s="21" t="s">
        <v>3607</v>
      </c>
    </row>
    <row r="31" spans="1:16" x14ac:dyDescent="0.25">
      <c r="A31" s="20">
        <v>30</v>
      </c>
      <c r="B31" s="21" t="s">
        <v>3617</v>
      </c>
      <c r="C31" s="21" t="s">
        <v>15</v>
      </c>
      <c r="D31" s="21" t="s">
        <v>15</v>
      </c>
      <c r="E31" s="21" t="s">
        <v>15</v>
      </c>
      <c r="F31" s="21" t="s">
        <v>15</v>
      </c>
      <c r="G31" s="21" t="s">
        <v>3604</v>
      </c>
      <c r="H31" s="21" t="s">
        <v>3618</v>
      </c>
      <c r="I31" s="21" t="s">
        <v>15</v>
      </c>
      <c r="J31" s="21" t="s">
        <v>15</v>
      </c>
      <c r="K31" s="21" t="s">
        <v>15</v>
      </c>
      <c r="L31" s="21" t="s">
        <v>15</v>
      </c>
      <c r="M31" s="21" t="s">
        <v>15</v>
      </c>
      <c r="N31" s="21" t="s">
        <v>15</v>
      </c>
      <c r="O31" s="21" t="s">
        <v>15</v>
      </c>
      <c r="P31" s="21" t="s">
        <v>3607</v>
      </c>
    </row>
    <row r="32" spans="1:16" x14ac:dyDescent="0.25">
      <c r="A32" s="20">
        <v>31</v>
      </c>
      <c r="B32" s="21" t="s">
        <v>3619</v>
      </c>
      <c r="C32" s="21" t="s">
        <v>15</v>
      </c>
      <c r="D32" s="21" t="s">
        <v>15</v>
      </c>
      <c r="E32" s="21" t="s">
        <v>15</v>
      </c>
      <c r="F32" s="21" t="s">
        <v>15</v>
      </c>
      <c r="G32" s="21" t="s">
        <v>3620</v>
      </c>
      <c r="H32" s="21" t="s">
        <v>3621</v>
      </c>
      <c r="I32" s="21" t="s">
        <v>15</v>
      </c>
      <c r="J32" s="21" t="s">
        <v>15</v>
      </c>
      <c r="K32" s="21" t="s">
        <v>15</v>
      </c>
      <c r="L32" s="21" t="s">
        <v>15</v>
      </c>
      <c r="M32" s="21" t="s">
        <v>15</v>
      </c>
      <c r="N32" s="21" t="s">
        <v>15</v>
      </c>
      <c r="O32" s="21" t="s">
        <v>15</v>
      </c>
      <c r="P32" s="21" t="s">
        <v>3622</v>
      </c>
    </row>
    <row r="33" spans="1:16" x14ac:dyDescent="0.25">
      <c r="A33" s="20">
        <v>32</v>
      </c>
      <c r="B33" s="21" t="s">
        <v>3623</v>
      </c>
      <c r="C33" s="21" t="s">
        <v>15</v>
      </c>
      <c r="D33" s="21" t="s">
        <v>15</v>
      </c>
      <c r="E33" s="21" t="s">
        <v>15</v>
      </c>
      <c r="F33" s="21" t="s">
        <v>15</v>
      </c>
      <c r="G33" s="21" t="s">
        <v>3620</v>
      </c>
      <c r="H33" s="21" t="s">
        <v>3621</v>
      </c>
      <c r="I33" s="21" t="s">
        <v>15</v>
      </c>
      <c r="J33" s="21" t="s">
        <v>15</v>
      </c>
      <c r="K33" s="21" t="s">
        <v>15</v>
      </c>
      <c r="L33" s="21" t="s">
        <v>15</v>
      </c>
      <c r="M33" s="21" t="s">
        <v>15</v>
      </c>
      <c r="N33" s="21" t="s">
        <v>15</v>
      </c>
      <c r="O33" s="21" t="s">
        <v>15</v>
      </c>
      <c r="P33" s="21" t="s">
        <v>3624</v>
      </c>
    </row>
    <row r="34" spans="1:16" x14ac:dyDescent="0.25">
      <c r="A34" s="20">
        <v>33</v>
      </c>
      <c r="B34" s="21" t="s">
        <v>3625</v>
      </c>
      <c r="C34" s="21" t="s">
        <v>15</v>
      </c>
      <c r="D34" s="21" t="s">
        <v>15</v>
      </c>
      <c r="E34" s="21" t="s">
        <v>15</v>
      </c>
      <c r="F34" s="21" t="s">
        <v>15</v>
      </c>
      <c r="G34" s="21" t="s">
        <v>3604</v>
      </c>
      <c r="H34" s="21" t="s">
        <v>3626</v>
      </c>
      <c r="I34" s="21" t="s">
        <v>15</v>
      </c>
      <c r="J34" s="21" t="s">
        <v>15</v>
      </c>
      <c r="K34" s="21" t="s">
        <v>15</v>
      </c>
      <c r="L34" s="21" t="s">
        <v>15</v>
      </c>
      <c r="M34" s="21" t="s">
        <v>15</v>
      </c>
      <c r="N34" s="21" t="s">
        <v>15</v>
      </c>
      <c r="O34" s="21" t="s">
        <v>15</v>
      </c>
      <c r="P34" s="21" t="s">
        <v>15</v>
      </c>
    </row>
    <row r="35" spans="1:16" x14ac:dyDescent="0.25">
      <c r="A35" s="20">
        <v>34</v>
      </c>
      <c r="B35" s="21" t="s">
        <v>3627</v>
      </c>
      <c r="C35" s="21" t="s">
        <v>15</v>
      </c>
      <c r="D35" s="21" t="s">
        <v>15</v>
      </c>
      <c r="E35" s="21" t="s">
        <v>15</v>
      </c>
      <c r="F35" s="21" t="s">
        <v>15</v>
      </c>
      <c r="G35" s="21" t="s">
        <v>3604</v>
      </c>
      <c r="H35" s="21" t="s">
        <v>3628</v>
      </c>
      <c r="I35" s="21" t="s">
        <v>15</v>
      </c>
      <c r="J35" s="21" t="s">
        <v>15</v>
      </c>
      <c r="K35" s="21" t="s">
        <v>15</v>
      </c>
      <c r="L35" s="21" t="s">
        <v>15</v>
      </c>
      <c r="M35" s="21" t="s">
        <v>15</v>
      </c>
      <c r="N35" s="21" t="s">
        <v>15</v>
      </c>
      <c r="O35" s="21" t="s">
        <v>15</v>
      </c>
      <c r="P35" s="21" t="s">
        <v>15</v>
      </c>
    </row>
    <row r="36" spans="1:16" x14ac:dyDescent="0.25">
      <c r="A36" s="20">
        <v>35</v>
      </c>
      <c r="B36" s="21" t="s">
        <v>3629</v>
      </c>
      <c r="C36" s="21" t="s">
        <v>15</v>
      </c>
      <c r="D36" s="21" t="s">
        <v>15</v>
      </c>
      <c r="E36" s="21" t="s">
        <v>15</v>
      </c>
      <c r="F36" s="21" t="s">
        <v>15</v>
      </c>
      <c r="G36" s="21" t="s">
        <v>3604</v>
      </c>
      <c r="H36" s="21" t="s">
        <v>3630</v>
      </c>
      <c r="I36" s="21" t="s">
        <v>15</v>
      </c>
      <c r="J36" s="21" t="s">
        <v>15</v>
      </c>
      <c r="K36" s="21" t="s">
        <v>15</v>
      </c>
      <c r="L36" s="21" t="s">
        <v>15</v>
      </c>
      <c r="M36" s="21" t="s">
        <v>15</v>
      </c>
      <c r="N36" s="21" t="s">
        <v>15</v>
      </c>
      <c r="O36" s="21" t="s">
        <v>15</v>
      </c>
      <c r="P36" s="21" t="s">
        <v>3631</v>
      </c>
    </row>
    <row r="37" spans="1:16" x14ac:dyDescent="0.25">
      <c r="A37" s="20">
        <v>36</v>
      </c>
      <c r="B37" s="21" t="s">
        <v>3632</v>
      </c>
      <c r="C37" s="21" t="s">
        <v>15</v>
      </c>
      <c r="D37" s="21" t="s">
        <v>15</v>
      </c>
      <c r="E37" s="21" t="s">
        <v>15</v>
      </c>
      <c r="F37" s="21" t="s">
        <v>15</v>
      </c>
      <c r="G37" s="21" t="s">
        <v>3533</v>
      </c>
      <c r="H37" s="21" t="s">
        <v>3633</v>
      </c>
      <c r="I37" s="21" t="s">
        <v>15</v>
      </c>
      <c r="J37" s="21" t="s">
        <v>15</v>
      </c>
      <c r="K37" s="21" t="s">
        <v>15</v>
      </c>
      <c r="L37" s="21" t="s">
        <v>15</v>
      </c>
      <c r="M37" s="21" t="s">
        <v>15</v>
      </c>
      <c r="N37" s="21" t="s">
        <v>15</v>
      </c>
      <c r="O37" s="21" t="s">
        <v>15</v>
      </c>
      <c r="P37" s="21" t="s">
        <v>3634</v>
      </c>
    </row>
    <row r="38" spans="1:16" x14ac:dyDescent="0.25">
      <c r="A38" s="20">
        <v>37</v>
      </c>
      <c r="B38" s="21" t="s">
        <v>3635</v>
      </c>
      <c r="C38" s="21" t="s">
        <v>15</v>
      </c>
      <c r="D38" s="21" t="s">
        <v>15</v>
      </c>
      <c r="E38" s="21" t="s">
        <v>15</v>
      </c>
      <c r="F38" s="21" t="s">
        <v>15</v>
      </c>
      <c r="G38" s="21" t="s">
        <v>3533</v>
      </c>
      <c r="H38" s="21" t="s">
        <v>3636</v>
      </c>
      <c r="I38" s="21" t="s">
        <v>15</v>
      </c>
      <c r="J38" s="21" t="s">
        <v>15</v>
      </c>
      <c r="K38" s="21" t="s">
        <v>15</v>
      </c>
      <c r="L38" s="21" t="s">
        <v>15</v>
      </c>
      <c r="M38" s="21" t="s">
        <v>15</v>
      </c>
      <c r="N38" s="21" t="s">
        <v>15</v>
      </c>
      <c r="O38" s="21" t="s">
        <v>15</v>
      </c>
      <c r="P38" s="21" t="s">
        <v>3637</v>
      </c>
    </row>
    <row r="39" spans="1:16" x14ac:dyDescent="0.25">
      <c r="A39" s="20">
        <v>38</v>
      </c>
      <c r="B39" s="21" t="s">
        <v>3638</v>
      </c>
      <c r="C39" s="21" t="s">
        <v>15</v>
      </c>
      <c r="D39" s="21" t="s">
        <v>15</v>
      </c>
      <c r="E39" s="21" t="s">
        <v>15</v>
      </c>
      <c r="F39" s="21" t="s">
        <v>15</v>
      </c>
      <c r="G39" s="21" t="s">
        <v>3533</v>
      </c>
      <c r="H39" s="21" t="s">
        <v>3639</v>
      </c>
      <c r="I39" s="21" t="s">
        <v>15</v>
      </c>
      <c r="J39" s="21" t="s">
        <v>15</v>
      </c>
      <c r="K39" s="21" t="s">
        <v>15</v>
      </c>
      <c r="L39" s="21" t="s">
        <v>15</v>
      </c>
      <c r="M39" s="21" t="s">
        <v>15</v>
      </c>
      <c r="N39" s="21" t="s">
        <v>15</v>
      </c>
      <c r="O39" s="21" t="s">
        <v>15</v>
      </c>
      <c r="P39" s="21" t="s">
        <v>3640</v>
      </c>
    </row>
    <row r="40" spans="1:16" x14ac:dyDescent="0.25">
      <c r="A40" s="20">
        <v>39</v>
      </c>
      <c r="B40" s="21" t="s">
        <v>15</v>
      </c>
      <c r="C40" s="21" t="s">
        <v>15</v>
      </c>
      <c r="D40" s="21" t="s">
        <v>15</v>
      </c>
      <c r="E40" s="21" t="s">
        <v>15</v>
      </c>
      <c r="F40" s="21" t="s">
        <v>15</v>
      </c>
      <c r="G40" s="21" t="s">
        <v>15</v>
      </c>
      <c r="H40" s="21" t="s">
        <v>3641</v>
      </c>
      <c r="I40" s="21" t="s">
        <v>15</v>
      </c>
      <c r="J40" s="21" t="s">
        <v>15</v>
      </c>
      <c r="K40" s="21" t="s">
        <v>15</v>
      </c>
      <c r="L40" s="21" t="s">
        <v>15</v>
      </c>
      <c r="M40" s="21" t="s">
        <v>15</v>
      </c>
      <c r="N40" s="21" t="s">
        <v>15</v>
      </c>
      <c r="O40" s="21" t="s">
        <v>15</v>
      </c>
      <c r="P40" s="21" t="s">
        <v>3642</v>
      </c>
    </row>
    <row r="41" spans="1:16" x14ac:dyDescent="0.25">
      <c r="A41" s="20">
        <v>40</v>
      </c>
      <c r="B41" s="21" t="s">
        <v>15</v>
      </c>
      <c r="C41" s="21" t="s">
        <v>15</v>
      </c>
      <c r="D41" s="21" t="s">
        <v>15</v>
      </c>
      <c r="E41" s="21" t="s">
        <v>15</v>
      </c>
      <c r="F41" s="21" t="s">
        <v>15</v>
      </c>
      <c r="G41" s="21" t="s">
        <v>15</v>
      </c>
      <c r="H41" s="21" t="s">
        <v>3643</v>
      </c>
      <c r="I41" s="21" t="s">
        <v>15</v>
      </c>
      <c r="J41" s="21" t="s">
        <v>15</v>
      </c>
      <c r="K41" s="21" t="s">
        <v>15</v>
      </c>
      <c r="L41" s="21" t="s">
        <v>15</v>
      </c>
      <c r="M41" s="21" t="s">
        <v>15</v>
      </c>
      <c r="N41" s="21" t="s">
        <v>15</v>
      </c>
      <c r="O41" s="21" t="s">
        <v>15</v>
      </c>
      <c r="P41" s="21" t="s">
        <v>3644</v>
      </c>
    </row>
    <row r="42" spans="1:16" x14ac:dyDescent="0.25">
      <c r="A42" s="20">
        <v>41</v>
      </c>
      <c r="B42" s="21" t="s">
        <v>15</v>
      </c>
      <c r="C42" s="21" t="s">
        <v>15</v>
      </c>
      <c r="D42" s="21" t="s">
        <v>15</v>
      </c>
      <c r="E42" s="21" t="s">
        <v>15</v>
      </c>
      <c r="F42" s="21" t="s">
        <v>15</v>
      </c>
      <c r="G42" s="21" t="s">
        <v>15</v>
      </c>
      <c r="H42" s="21" t="s">
        <v>15</v>
      </c>
      <c r="I42" s="21" t="s">
        <v>3645</v>
      </c>
      <c r="J42" s="21" t="s">
        <v>15</v>
      </c>
      <c r="K42" s="21" t="s">
        <v>15</v>
      </c>
      <c r="L42" s="21" t="s">
        <v>15</v>
      </c>
      <c r="M42" s="21" t="s">
        <v>15</v>
      </c>
      <c r="N42" s="21" t="s">
        <v>15</v>
      </c>
      <c r="O42" s="21" t="s">
        <v>15</v>
      </c>
      <c r="P42" s="21" t="s">
        <v>3646</v>
      </c>
    </row>
    <row r="43" spans="1:16" x14ac:dyDescent="0.25">
      <c r="A43" s="20">
        <v>42</v>
      </c>
      <c r="B43" s="21" t="s">
        <v>15</v>
      </c>
      <c r="C43" s="21" t="s">
        <v>15</v>
      </c>
      <c r="D43" s="21" t="s">
        <v>15</v>
      </c>
      <c r="E43" s="21" t="s">
        <v>15</v>
      </c>
      <c r="F43" s="21" t="s">
        <v>15</v>
      </c>
      <c r="G43" s="21" t="s">
        <v>15</v>
      </c>
      <c r="H43" s="21" t="s">
        <v>3647</v>
      </c>
      <c r="I43" s="21" t="s">
        <v>15</v>
      </c>
      <c r="J43" s="21" t="s">
        <v>15</v>
      </c>
      <c r="K43" s="21" t="s">
        <v>15</v>
      </c>
      <c r="L43" s="21" t="s">
        <v>15</v>
      </c>
      <c r="M43" s="21" t="s">
        <v>15</v>
      </c>
      <c r="N43" s="21" t="s">
        <v>15</v>
      </c>
      <c r="O43" s="21" t="s">
        <v>15</v>
      </c>
      <c r="P43" s="21" t="s">
        <v>3648</v>
      </c>
    </row>
    <row r="44" spans="1:16" x14ac:dyDescent="0.25">
      <c r="A44" s="20">
        <v>43</v>
      </c>
      <c r="B44" s="21" t="s">
        <v>15</v>
      </c>
      <c r="C44" s="21" t="s">
        <v>15</v>
      </c>
      <c r="D44" s="21" t="s">
        <v>15</v>
      </c>
      <c r="E44" s="21" t="s">
        <v>15</v>
      </c>
      <c r="F44" s="21" t="s">
        <v>15</v>
      </c>
      <c r="G44" s="21" t="s">
        <v>15</v>
      </c>
      <c r="H44" s="21" t="s">
        <v>15</v>
      </c>
      <c r="I44" s="21" t="s">
        <v>3649</v>
      </c>
      <c r="J44" s="21" t="s">
        <v>15</v>
      </c>
      <c r="K44" s="21" t="s">
        <v>15</v>
      </c>
      <c r="L44" s="21" t="s">
        <v>15</v>
      </c>
      <c r="M44" s="21" t="s">
        <v>15</v>
      </c>
      <c r="N44" s="21" t="s">
        <v>15</v>
      </c>
      <c r="O44" s="21" t="s">
        <v>15</v>
      </c>
      <c r="P44" s="21" t="s">
        <v>3650</v>
      </c>
    </row>
    <row r="45" spans="1:16" x14ac:dyDescent="0.25">
      <c r="A45" s="20">
        <v>44</v>
      </c>
      <c r="B45" s="21" t="s">
        <v>3651</v>
      </c>
      <c r="C45" s="21" t="s">
        <v>15</v>
      </c>
      <c r="D45" s="21" t="s">
        <v>15</v>
      </c>
      <c r="E45" s="21" t="s">
        <v>15</v>
      </c>
      <c r="F45" s="21" t="s">
        <v>15</v>
      </c>
      <c r="G45" s="21" t="s">
        <v>3652</v>
      </c>
      <c r="H45" s="21" t="s">
        <v>3653</v>
      </c>
      <c r="I45" s="21" t="s">
        <v>15</v>
      </c>
      <c r="J45" s="21" t="s">
        <v>15</v>
      </c>
      <c r="K45" s="21" t="s">
        <v>15</v>
      </c>
      <c r="L45" s="21" t="s">
        <v>15</v>
      </c>
      <c r="M45" s="21" t="s">
        <v>15</v>
      </c>
      <c r="N45" s="21" t="s">
        <v>15</v>
      </c>
      <c r="O45" s="21" t="s">
        <v>15</v>
      </c>
      <c r="P45" s="21" t="s">
        <v>3654</v>
      </c>
    </row>
    <row r="46" spans="1:16" x14ac:dyDescent="0.25">
      <c r="A46" s="20">
        <v>45</v>
      </c>
      <c r="B46" s="21" t="s">
        <v>3651</v>
      </c>
      <c r="C46" s="21" t="s">
        <v>15</v>
      </c>
      <c r="D46" s="21" t="s">
        <v>15</v>
      </c>
      <c r="E46" s="21" t="s">
        <v>15</v>
      </c>
      <c r="F46" s="21" t="s">
        <v>15</v>
      </c>
      <c r="G46" s="21" t="s">
        <v>3655</v>
      </c>
      <c r="H46" s="21" t="s">
        <v>3656</v>
      </c>
      <c r="I46" s="21" t="s">
        <v>15</v>
      </c>
      <c r="J46" s="21" t="s">
        <v>15</v>
      </c>
      <c r="K46" s="21" t="s">
        <v>15</v>
      </c>
      <c r="L46" s="21" t="s">
        <v>15</v>
      </c>
      <c r="M46" s="21" t="s">
        <v>15</v>
      </c>
      <c r="N46" s="21" t="s">
        <v>15</v>
      </c>
      <c r="O46" s="21" t="s">
        <v>15</v>
      </c>
      <c r="P46" s="21" t="s">
        <v>3654</v>
      </c>
    </row>
    <row r="47" spans="1:16" x14ac:dyDescent="0.25">
      <c r="A47" s="20">
        <v>46</v>
      </c>
      <c r="B47" s="21" t="s">
        <v>3657</v>
      </c>
      <c r="C47" s="21" t="s">
        <v>15</v>
      </c>
      <c r="D47" s="21" t="s">
        <v>15</v>
      </c>
      <c r="E47" s="21" t="s">
        <v>15</v>
      </c>
      <c r="F47" s="21" t="s">
        <v>15</v>
      </c>
      <c r="G47" s="21" t="s">
        <v>3658</v>
      </c>
      <c r="H47" s="21" t="s">
        <v>3659</v>
      </c>
      <c r="I47" s="21" t="s">
        <v>15</v>
      </c>
      <c r="J47" s="21" t="s">
        <v>15</v>
      </c>
      <c r="K47" s="21" t="s">
        <v>15</v>
      </c>
      <c r="L47" s="21" t="s">
        <v>15</v>
      </c>
      <c r="M47" s="21" t="s">
        <v>15</v>
      </c>
      <c r="N47" s="21" t="s">
        <v>521</v>
      </c>
      <c r="O47" s="21" t="s">
        <v>3660</v>
      </c>
      <c r="P47" s="21" t="s">
        <v>3661</v>
      </c>
    </row>
    <row r="48" spans="1:16" x14ac:dyDescent="0.25">
      <c r="A48" s="20">
        <v>47</v>
      </c>
      <c r="B48" s="21" t="s">
        <v>15</v>
      </c>
      <c r="C48" s="21" t="s">
        <v>15</v>
      </c>
      <c r="D48" s="21" t="s">
        <v>15</v>
      </c>
      <c r="E48" s="21" t="s">
        <v>15</v>
      </c>
      <c r="F48" s="21" t="s">
        <v>15</v>
      </c>
      <c r="G48" s="21" t="s">
        <v>3604</v>
      </c>
      <c r="H48" s="21" t="s">
        <v>3662</v>
      </c>
      <c r="I48" s="21" t="s">
        <v>15</v>
      </c>
      <c r="J48" s="21" t="s">
        <v>15</v>
      </c>
      <c r="K48" s="21" t="s">
        <v>15</v>
      </c>
      <c r="L48" s="21" t="s">
        <v>15</v>
      </c>
      <c r="M48" s="21" t="s">
        <v>15</v>
      </c>
      <c r="N48" s="21" t="s">
        <v>15</v>
      </c>
      <c r="O48" s="21" t="s">
        <v>15</v>
      </c>
      <c r="P48" s="21" t="s">
        <v>3663</v>
      </c>
    </row>
    <row r="49" spans="1:16" x14ac:dyDescent="0.25">
      <c r="A49" s="20">
        <v>48</v>
      </c>
      <c r="B49" s="21" t="s">
        <v>15</v>
      </c>
      <c r="C49" s="21" t="s">
        <v>15</v>
      </c>
      <c r="D49" s="21" t="s">
        <v>15</v>
      </c>
      <c r="E49" s="21" t="s">
        <v>15</v>
      </c>
      <c r="F49" s="21" t="s">
        <v>15</v>
      </c>
      <c r="G49" s="21" t="s">
        <v>3664</v>
      </c>
      <c r="H49" s="21" t="s">
        <v>3665</v>
      </c>
      <c r="I49" s="21" t="s">
        <v>15</v>
      </c>
      <c r="J49" s="21" t="s">
        <v>15</v>
      </c>
      <c r="K49" s="21" t="s">
        <v>15</v>
      </c>
      <c r="L49" s="21" t="s">
        <v>15</v>
      </c>
      <c r="M49" s="21" t="s">
        <v>15</v>
      </c>
      <c r="N49" s="21" t="s">
        <v>15</v>
      </c>
      <c r="O49" s="21" t="s">
        <v>15</v>
      </c>
      <c r="P49" s="21" t="s">
        <v>3666</v>
      </c>
    </row>
    <row r="50" spans="1:16" x14ac:dyDescent="0.25">
      <c r="A50" s="20">
        <v>49</v>
      </c>
      <c r="B50" s="21" t="s">
        <v>15</v>
      </c>
      <c r="C50" s="21" t="s">
        <v>15</v>
      </c>
      <c r="D50" s="21" t="s">
        <v>15</v>
      </c>
      <c r="E50" s="21" t="s">
        <v>15</v>
      </c>
      <c r="F50" s="21" t="s">
        <v>15</v>
      </c>
      <c r="G50" s="21" t="s">
        <v>3667</v>
      </c>
      <c r="H50" s="21" t="s">
        <v>3668</v>
      </c>
      <c r="I50" s="21" t="s">
        <v>15</v>
      </c>
      <c r="J50" s="21" t="s">
        <v>15</v>
      </c>
      <c r="K50" s="21" t="s">
        <v>15</v>
      </c>
      <c r="L50" s="21" t="s">
        <v>15</v>
      </c>
      <c r="M50" s="21" t="s">
        <v>15</v>
      </c>
      <c r="N50" s="21" t="s">
        <v>15</v>
      </c>
      <c r="O50" s="21" t="s">
        <v>15</v>
      </c>
      <c r="P50" s="21" t="s">
        <v>3669</v>
      </c>
    </row>
    <row r="51" spans="1:16" x14ac:dyDescent="0.25">
      <c r="A51" s="20">
        <v>50</v>
      </c>
      <c r="B51" s="21" t="s">
        <v>15</v>
      </c>
      <c r="C51" s="21" t="s">
        <v>15</v>
      </c>
      <c r="D51" s="21" t="s">
        <v>15</v>
      </c>
      <c r="E51" s="21" t="s">
        <v>15</v>
      </c>
      <c r="F51" s="21" t="s">
        <v>15</v>
      </c>
      <c r="G51" s="21" t="s">
        <v>3667</v>
      </c>
      <c r="H51" s="21" t="s">
        <v>3670</v>
      </c>
      <c r="I51" s="21" t="s">
        <v>15</v>
      </c>
      <c r="J51" s="21" t="s">
        <v>15</v>
      </c>
      <c r="K51" s="21" t="s">
        <v>15</v>
      </c>
      <c r="L51" s="21" t="s">
        <v>15</v>
      </c>
      <c r="M51" s="21" t="s">
        <v>15</v>
      </c>
      <c r="N51" s="21" t="s">
        <v>15</v>
      </c>
      <c r="O51" s="21" t="s">
        <v>15</v>
      </c>
      <c r="P51" s="21" t="s">
        <v>3671</v>
      </c>
    </row>
    <row r="52" spans="1:16" x14ac:dyDescent="0.25">
      <c r="A52" s="20">
        <v>51</v>
      </c>
      <c r="B52" s="21" t="s">
        <v>15</v>
      </c>
      <c r="C52" s="21" t="s">
        <v>15</v>
      </c>
      <c r="D52" s="21" t="s">
        <v>15</v>
      </c>
      <c r="E52" s="21" t="s">
        <v>15</v>
      </c>
      <c r="F52" s="21" t="s">
        <v>15</v>
      </c>
      <c r="G52" s="21" t="s">
        <v>3672</v>
      </c>
      <c r="H52" s="21" t="s">
        <v>3673</v>
      </c>
      <c r="I52" s="21" t="s">
        <v>15</v>
      </c>
      <c r="J52" s="21" t="s">
        <v>15</v>
      </c>
      <c r="K52" s="21" t="s">
        <v>15</v>
      </c>
      <c r="L52" s="21" t="s">
        <v>15</v>
      </c>
      <c r="M52" s="21" t="s">
        <v>15</v>
      </c>
      <c r="N52" s="21" t="s">
        <v>15</v>
      </c>
      <c r="O52" s="21" t="s">
        <v>15</v>
      </c>
      <c r="P52" s="21" t="s">
        <v>3674</v>
      </c>
    </row>
    <row r="53" spans="1:16" x14ac:dyDescent="0.25">
      <c r="A53" s="20">
        <v>52</v>
      </c>
      <c r="B53" s="21" t="s">
        <v>15</v>
      </c>
      <c r="C53" s="21" t="s">
        <v>15</v>
      </c>
      <c r="D53" s="21" t="s">
        <v>15</v>
      </c>
      <c r="E53" s="21" t="s">
        <v>15</v>
      </c>
      <c r="F53" s="21" t="s">
        <v>15</v>
      </c>
      <c r="G53" s="21" t="s">
        <v>3667</v>
      </c>
      <c r="H53" s="21" t="s">
        <v>3675</v>
      </c>
      <c r="I53" s="21" t="s">
        <v>15</v>
      </c>
      <c r="J53" s="21" t="s">
        <v>15</v>
      </c>
      <c r="K53" s="21" t="s">
        <v>15</v>
      </c>
      <c r="L53" s="21" t="s">
        <v>15</v>
      </c>
      <c r="M53" s="21" t="s">
        <v>15</v>
      </c>
      <c r="N53" s="21" t="s">
        <v>1971</v>
      </c>
      <c r="O53" s="21" t="s">
        <v>3676</v>
      </c>
      <c r="P53" s="21" t="s">
        <v>3677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DACF-1057-455D-AAD0-21B64CF041F9}">
  <dimension ref="A1:T2"/>
  <sheetViews>
    <sheetView workbookViewId="0">
      <selection activeCell="Q1" sqref="Q1:T1"/>
    </sheetView>
  </sheetViews>
  <sheetFormatPr defaultColWidth="60.85546875" defaultRowHeight="15" x14ac:dyDescent="0.25"/>
  <cols>
    <col min="1" max="1" width="12.85546875" style="3" bestFit="1" customWidth="1"/>
    <col min="2" max="2" width="31" style="3" bestFit="1" customWidth="1"/>
    <col min="3" max="3" width="10.42578125" style="3" bestFit="1" customWidth="1"/>
    <col min="4" max="4" width="11.42578125" style="3" bestFit="1" customWidth="1"/>
    <col min="5" max="5" width="12.7109375" style="3" bestFit="1" customWidth="1"/>
    <col min="6" max="6" width="13.85546875" style="3" bestFit="1" customWidth="1"/>
    <col min="7" max="7" width="13.140625" style="3" bestFit="1" customWidth="1"/>
    <col min="8" max="8" width="19.85546875" style="3" bestFit="1" customWidth="1"/>
    <col min="9" max="9" width="8.140625" style="3" bestFit="1" customWidth="1"/>
    <col min="10" max="10" width="6.5703125" style="3" bestFit="1" customWidth="1"/>
    <col min="11" max="11" width="9.5703125" style="3" bestFit="1" customWidth="1"/>
    <col min="12" max="12" width="9" style="3" bestFit="1" customWidth="1"/>
    <col min="13" max="13" width="7.140625" style="3" bestFit="1" customWidth="1"/>
    <col min="14" max="14" width="8.42578125" style="3" bestFit="1" customWidth="1"/>
    <col min="15" max="15" width="15.140625" style="3" bestFit="1" customWidth="1"/>
    <col min="16" max="16" width="8.42578125" style="3" bestFit="1" customWidth="1"/>
    <col min="17" max="16384" width="60.85546875" style="3"/>
  </cols>
  <sheetData>
    <row r="1" spans="1:20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416</v>
      </c>
      <c r="L1" s="22" t="s">
        <v>417</v>
      </c>
      <c r="M1" s="22" t="s">
        <v>418</v>
      </c>
      <c r="N1" s="22" t="s">
        <v>12</v>
      </c>
      <c r="O1" s="22" t="s">
        <v>13</v>
      </c>
      <c r="P1" s="22" t="s">
        <v>14</v>
      </c>
      <c r="Q1" s="27" t="s">
        <v>61</v>
      </c>
      <c r="R1" s="27" t="s">
        <v>1971</v>
      </c>
      <c r="S1" s="27" t="s">
        <v>1120</v>
      </c>
      <c r="T1" s="27" t="s">
        <v>521</v>
      </c>
    </row>
    <row r="2" spans="1:20" ht="60" x14ac:dyDescent="0.25">
      <c r="A2" s="23">
        <v>1</v>
      </c>
      <c r="B2" s="24" t="s">
        <v>3678</v>
      </c>
      <c r="C2" s="24" t="s">
        <v>15</v>
      </c>
      <c r="D2" s="24" t="s">
        <v>15</v>
      </c>
      <c r="E2" s="24" t="s">
        <v>15</v>
      </c>
      <c r="F2" s="24" t="s">
        <v>15</v>
      </c>
      <c r="G2" s="24" t="s">
        <v>15</v>
      </c>
      <c r="H2" s="24" t="s">
        <v>3679</v>
      </c>
      <c r="I2" s="24" t="s">
        <v>15</v>
      </c>
      <c r="J2" s="24" t="s">
        <v>15</v>
      </c>
      <c r="K2" s="24" t="s">
        <v>15</v>
      </c>
      <c r="L2" s="24" t="s">
        <v>15</v>
      </c>
      <c r="M2" s="24" t="s">
        <v>15</v>
      </c>
      <c r="N2" s="24" t="s">
        <v>15</v>
      </c>
      <c r="O2" s="24" t="s">
        <v>3680</v>
      </c>
      <c r="P2" s="24" t="s">
        <v>3681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C80A-7E7E-4010-94EC-8E4EBEBA9506}">
  <dimension ref="A1:Q126"/>
  <sheetViews>
    <sheetView topLeftCell="A81" workbookViewId="0">
      <selection activeCell="C90" sqref="C90"/>
    </sheetView>
  </sheetViews>
  <sheetFormatPr defaultColWidth="65.7109375" defaultRowHeight="15" x14ac:dyDescent="0.25"/>
  <cols>
    <col min="1" max="1" width="18.7109375" style="3" customWidth="1"/>
    <col min="2" max="2" width="63.140625" style="3" bestFit="1" customWidth="1"/>
    <col min="3" max="3" width="57.28515625" style="3" customWidth="1"/>
    <col min="4" max="4" width="10.42578125" style="3" bestFit="1" customWidth="1"/>
    <col min="5" max="5" width="11.42578125" style="3" bestFit="1" customWidth="1"/>
    <col min="6" max="6" width="12.7109375" style="3" bestFit="1" customWidth="1"/>
    <col min="7" max="7" width="13.85546875" style="3" bestFit="1" customWidth="1"/>
    <col min="8" max="8" width="21" style="3" bestFit="1" customWidth="1"/>
    <col min="9" max="9" width="20.28515625" style="3" bestFit="1" customWidth="1"/>
    <col min="10" max="10" width="8.140625" style="3" bestFit="1" customWidth="1"/>
    <col min="11" max="11" width="48.7109375" style="3" bestFit="1" customWidth="1"/>
    <col min="12" max="12" width="5.42578125" style="3" bestFit="1" customWidth="1"/>
    <col min="13" max="13" width="6.85546875" style="3" bestFit="1" customWidth="1"/>
    <col min="14" max="14" width="8.42578125" style="3" bestFit="1" customWidth="1"/>
    <col min="15" max="15" width="7.85546875" style="3" bestFit="1" customWidth="1"/>
    <col min="16" max="16" width="5.140625" style="3" bestFit="1" customWidth="1"/>
    <col min="17" max="16384" width="65.7109375" style="3"/>
  </cols>
  <sheetData>
    <row r="1" spans="1:17" s="25" customFormat="1" x14ac:dyDescent="0.25">
      <c r="A1" s="59" t="s">
        <v>0</v>
      </c>
      <c r="B1" s="59" t="s">
        <v>1</v>
      </c>
      <c r="C1" s="59" t="s">
        <v>4014</v>
      </c>
      <c r="D1" s="59" t="s">
        <v>2</v>
      </c>
      <c r="E1" s="59" t="s">
        <v>3</v>
      </c>
      <c r="F1" s="59" t="s">
        <v>4</v>
      </c>
      <c r="G1" s="59" t="s">
        <v>5</v>
      </c>
      <c r="H1" s="59" t="s">
        <v>6</v>
      </c>
      <c r="I1" s="59" t="s">
        <v>7</v>
      </c>
      <c r="J1" s="59" t="s">
        <v>8</v>
      </c>
      <c r="K1" s="59" t="s">
        <v>14</v>
      </c>
      <c r="L1" s="60" t="s">
        <v>4070</v>
      </c>
      <c r="M1" s="60" t="s">
        <v>5014</v>
      </c>
      <c r="N1" s="27" t="s">
        <v>61</v>
      </c>
      <c r="O1" s="27" t="s">
        <v>1971</v>
      </c>
      <c r="P1" s="27" t="s">
        <v>1120</v>
      </c>
      <c r="Q1" s="27" t="s">
        <v>521</v>
      </c>
    </row>
    <row r="2" spans="1:17" x14ac:dyDescent="0.25">
      <c r="A2" s="61" t="s">
        <v>5015</v>
      </c>
      <c r="B2" s="62" t="str">
        <f t="shared" ref="B2:B33" si="0">_xlfn.CONCAT("TRANSISTOR,",C2,",",L2,",",M2,",",H2,",",I2,",",J2)</f>
        <v>TRANSISTOR,PNP,65V,0.1A,NXP,BC856A,215,SOT23</v>
      </c>
      <c r="C2" s="62" t="s">
        <v>3682</v>
      </c>
      <c r="D2" s="62" t="s">
        <v>15</v>
      </c>
      <c r="E2" s="62" t="s">
        <v>15</v>
      </c>
      <c r="F2" s="62" t="s">
        <v>15</v>
      </c>
      <c r="G2" s="62" t="s">
        <v>15</v>
      </c>
      <c r="H2" s="62" t="s">
        <v>699</v>
      </c>
      <c r="I2" s="62" t="s">
        <v>3683</v>
      </c>
      <c r="J2" s="62" t="s">
        <v>693</v>
      </c>
      <c r="K2" s="62" t="s">
        <v>3684</v>
      </c>
      <c r="L2" s="62" t="s">
        <v>3685</v>
      </c>
      <c r="M2" s="62" t="s">
        <v>981</v>
      </c>
    </row>
    <row r="3" spans="1:17" x14ac:dyDescent="0.25">
      <c r="A3" s="61" t="s">
        <v>5016</v>
      </c>
      <c r="B3" s="62" t="str">
        <f t="shared" si="0"/>
        <v>TRANSISTOR,NPN,65V,0.1A,NXP,BC846A,215,SOT23</v>
      </c>
      <c r="C3" s="62" t="s">
        <v>3686</v>
      </c>
      <c r="D3" s="62" t="s">
        <v>15</v>
      </c>
      <c r="E3" s="62" t="s">
        <v>15</v>
      </c>
      <c r="F3" s="62" t="s">
        <v>15</v>
      </c>
      <c r="G3" s="62" t="s">
        <v>15</v>
      </c>
      <c r="H3" s="62" t="s">
        <v>699</v>
      </c>
      <c r="I3" s="62" t="s">
        <v>3687</v>
      </c>
      <c r="J3" s="62" t="s">
        <v>693</v>
      </c>
      <c r="K3" s="62" t="s">
        <v>3688</v>
      </c>
      <c r="L3" s="62" t="s">
        <v>3685</v>
      </c>
      <c r="M3" s="62" t="s">
        <v>981</v>
      </c>
    </row>
    <row r="4" spans="1:17" x14ac:dyDescent="0.25">
      <c r="A4" s="61" t="s">
        <v>5017</v>
      </c>
      <c r="B4" s="62" t="str">
        <f t="shared" si="0"/>
        <v>TRANSISTOR,NPN, PREBIASED,50V,0.1A,ROHM,DTC144EKA,SOT23</v>
      </c>
      <c r="C4" s="62" t="s">
        <v>3689</v>
      </c>
      <c r="D4" s="62" t="s">
        <v>15</v>
      </c>
      <c r="E4" s="62" t="s">
        <v>15</v>
      </c>
      <c r="F4" s="62" t="s">
        <v>15</v>
      </c>
      <c r="G4" s="62" t="s">
        <v>15</v>
      </c>
      <c r="H4" s="62" t="s">
        <v>87</v>
      </c>
      <c r="I4" s="62" t="s">
        <v>3690</v>
      </c>
      <c r="J4" s="62" t="s">
        <v>693</v>
      </c>
      <c r="K4" s="62" t="s">
        <v>3691</v>
      </c>
      <c r="L4" s="62" t="s">
        <v>59</v>
      </c>
      <c r="M4" s="62" t="s">
        <v>981</v>
      </c>
    </row>
    <row r="5" spans="1:17" x14ac:dyDescent="0.25">
      <c r="A5" s="61" t="s">
        <v>5018</v>
      </c>
      <c r="B5" s="62" t="str">
        <f t="shared" si="0"/>
        <v>TRANSISTOR,PNP,45V,0.5A,NXP,BCX71K,SOT23</v>
      </c>
      <c r="C5" s="62" t="s">
        <v>3682</v>
      </c>
      <c r="D5" s="62" t="s">
        <v>15</v>
      </c>
      <c r="E5" s="62" t="s">
        <v>15</v>
      </c>
      <c r="F5" s="62" t="s">
        <v>15</v>
      </c>
      <c r="G5" s="62" t="s">
        <v>15</v>
      </c>
      <c r="H5" s="62" t="s">
        <v>699</v>
      </c>
      <c r="I5" s="62" t="s">
        <v>3692</v>
      </c>
      <c r="J5" s="62" t="s">
        <v>693</v>
      </c>
      <c r="K5" s="62" t="s">
        <v>3693</v>
      </c>
      <c r="L5" s="62" t="s">
        <v>3694</v>
      </c>
      <c r="M5" s="62" t="s">
        <v>689</v>
      </c>
    </row>
    <row r="6" spans="1:17" x14ac:dyDescent="0.25">
      <c r="A6" s="61" t="s">
        <v>5019</v>
      </c>
      <c r="B6" s="62" t="str">
        <f t="shared" si="0"/>
        <v>TRANSISTOR,NPN,40V,0.2A,LESHAN,MMBT3904,SOT23</v>
      </c>
      <c r="C6" s="62" t="s">
        <v>3686</v>
      </c>
      <c r="D6" s="62" t="s">
        <v>15</v>
      </c>
      <c r="E6" s="62" t="s">
        <v>15</v>
      </c>
      <c r="F6" s="62" t="s">
        <v>15</v>
      </c>
      <c r="G6" s="62" t="s">
        <v>15</v>
      </c>
      <c r="H6" s="62" t="s">
        <v>3696</v>
      </c>
      <c r="I6" s="62" t="s">
        <v>3695</v>
      </c>
      <c r="J6" s="62" t="s">
        <v>693</v>
      </c>
      <c r="K6" s="62" t="s">
        <v>3697</v>
      </c>
      <c r="L6" s="62" t="s">
        <v>721</v>
      </c>
      <c r="M6" s="62" t="s">
        <v>713</v>
      </c>
    </row>
    <row r="7" spans="1:17" x14ac:dyDescent="0.25">
      <c r="A7" s="61" t="s">
        <v>5020</v>
      </c>
      <c r="B7" s="62" t="str">
        <f t="shared" si="0"/>
        <v>TRANSISTOR,NPN,40V,0.2A,LESHAN,LMBT3904LT16,SOT23</v>
      </c>
      <c r="C7" s="62" t="s">
        <v>3686</v>
      </c>
      <c r="D7" s="62" t="s">
        <v>15</v>
      </c>
      <c r="E7" s="62" t="s">
        <v>15</v>
      </c>
      <c r="F7" s="62" t="s">
        <v>15</v>
      </c>
      <c r="G7" s="62" t="s">
        <v>15</v>
      </c>
      <c r="H7" s="62" t="s">
        <v>3696</v>
      </c>
      <c r="I7" s="62" t="s">
        <v>3698</v>
      </c>
      <c r="J7" s="62" t="s">
        <v>693</v>
      </c>
      <c r="K7" s="62" t="s">
        <v>3699</v>
      </c>
      <c r="L7" s="62" t="s">
        <v>721</v>
      </c>
      <c r="M7" s="62" t="s">
        <v>713</v>
      </c>
    </row>
    <row r="8" spans="1:17" x14ac:dyDescent="0.25">
      <c r="A8" s="61" t="s">
        <v>5021</v>
      </c>
      <c r="B8" s="62" t="str">
        <f t="shared" si="0"/>
        <v>TRANSISTOR,NPN,40V,0.6A,ONSEMI,MMBT2222,SOT23</v>
      </c>
      <c r="C8" s="62" t="s">
        <v>3686</v>
      </c>
      <c r="D8" s="62" t="s">
        <v>15</v>
      </c>
      <c r="E8" s="62" t="s">
        <v>15</v>
      </c>
      <c r="F8" s="62" t="s">
        <v>15</v>
      </c>
      <c r="G8" s="62" t="s">
        <v>15</v>
      </c>
      <c r="H8" s="62" t="s">
        <v>685</v>
      </c>
      <c r="I8" s="62" t="s">
        <v>3700</v>
      </c>
      <c r="J8" s="62" t="s">
        <v>693</v>
      </c>
      <c r="K8" s="62" t="s">
        <v>3701</v>
      </c>
      <c r="L8" s="62" t="s">
        <v>721</v>
      </c>
      <c r="M8" s="62" t="s">
        <v>3702</v>
      </c>
    </row>
    <row r="9" spans="1:17" x14ac:dyDescent="0.25">
      <c r="A9" s="61" t="s">
        <v>5022</v>
      </c>
      <c r="B9" s="62" t="str">
        <f t="shared" si="0"/>
        <v>TRANSISTOR,N-CHAN, JFET,35V,0.005A,SILICONIX,J112,TO92</v>
      </c>
      <c r="C9" s="62" t="s">
        <v>5144</v>
      </c>
      <c r="D9" s="62" t="s">
        <v>15</v>
      </c>
      <c r="E9" s="62" t="s">
        <v>15</v>
      </c>
      <c r="F9" s="62" t="s">
        <v>15</v>
      </c>
      <c r="G9" s="62" t="s">
        <v>15</v>
      </c>
      <c r="H9" s="62" t="s">
        <v>1391</v>
      </c>
      <c r="I9" s="62" t="s">
        <v>3703</v>
      </c>
      <c r="J9" s="62" t="s">
        <v>1540</v>
      </c>
      <c r="K9" s="62" t="s">
        <v>15</v>
      </c>
      <c r="L9" s="62" t="s">
        <v>210</v>
      </c>
      <c r="M9" s="62" t="s">
        <v>3705</v>
      </c>
      <c r="N9" s="62" t="s">
        <v>3704</v>
      </c>
    </row>
    <row r="10" spans="1:17" x14ac:dyDescent="0.25">
      <c r="A10" s="61" t="s">
        <v>5023</v>
      </c>
      <c r="B10" s="62" t="str">
        <f t="shared" si="0"/>
        <v>TRANSISTOR,N-CHAN, JFET,25V,0.01A,SILICONIX,J110,TO92</v>
      </c>
      <c r="C10" s="62" t="s">
        <v>5144</v>
      </c>
      <c r="D10" s="62" t="s">
        <v>15</v>
      </c>
      <c r="E10" s="62" t="s">
        <v>15</v>
      </c>
      <c r="F10" s="62" t="s">
        <v>15</v>
      </c>
      <c r="G10" s="62" t="s">
        <v>15</v>
      </c>
      <c r="H10" s="62" t="s">
        <v>1391</v>
      </c>
      <c r="I10" s="62" t="s">
        <v>3706</v>
      </c>
      <c r="J10" s="62" t="s">
        <v>1540</v>
      </c>
      <c r="K10" s="62" t="s">
        <v>15</v>
      </c>
      <c r="L10" s="62" t="s">
        <v>81</v>
      </c>
      <c r="M10" s="62" t="s">
        <v>3708</v>
      </c>
      <c r="N10" s="62" t="s">
        <v>3707</v>
      </c>
    </row>
    <row r="11" spans="1:17" x14ac:dyDescent="0.25">
      <c r="A11" s="61" t="s">
        <v>5024</v>
      </c>
      <c r="B11" s="62" t="str">
        <f t="shared" si="0"/>
        <v>TRANSISTOR,NPN,60V,0.5A,ONSEMI,MPSA05,TO92</v>
      </c>
      <c r="C11" s="62" t="s">
        <v>3686</v>
      </c>
      <c r="D11" s="62" t="s">
        <v>15</v>
      </c>
      <c r="E11" s="62" t="s">
        <v>15</v>
      </c>
      <c r="F11" s="62" t="s">
        <v>15</v>
      </c>
      <c r="G11" s="62" t="s">
        <v>15</v>
      </c>
      <c r="H11" s="62" t="s">
        <v>685</v>
      </c>
      <c r="I11" s="62" t="s">
        <v>3709</v>
      </c>
      <c r="J11" s="62" t="s">
        <v>1540</v>
      </c>
      <c r="K11" s="62" t="s">
        <v>3710</v>
      </c>
      <c r="L11" s="62" t="s">
        <v>830</v>
      </c>
      <c r="M11" s="62" t="s">
        <v>689</v>
      </c>
      <c r="N11" s="62" t="s">
        <v>3711</v>
      </c>
    </row>
    <row r="12" spans="1:17" x14ac:dyDescent="0.25">
      <c r="A12" s="61" t="s">
        <v>5025</v>
      </c>
      <c r="B12" s="62" t="str">
        <f t="shared" si="0"/>
        <v>TRANSISTOR,NPN DIGITAL, DUAL,50V,0.1A,ROHM,UMH11,SOT363</v>
      </c>
      <c r="C12" s="62" t="s">
        <v>5141</v>
      </c>
      <c r="D12" s="62" t="s">
        <v>15</v>
      </c>
      <c r="E12" s="62" t="s">
        <v>15</v>
      </c>
      <c r="F12" s="62" t="s">
        <v>15</v>
      </c>
      <c r="G12" s="62" t="s">
        <v>15</v>
      </c>
      <c r="H12" s="62" t="s">
        <v>87</v>
      </c>
      <c r="I12" s="62" t="s">
        <v>3712</v>
      </c>
      <c r="J12" s="62" t="s">
        <v>3713</v>
      </c>
      <c r="K12" s="62" t="s">
        <v>3714</v>
      </c>
      <c r="L12" s="62" t="s">
        <v>59</v>
      </c>
      <c r="M12" s="62" t="s">
        <v>981</v>
      </c>
    </row>
    <row r="13" spans="1:17" x14ac:dyDescent="0.25">
      <c r="A13" s="61" t="s">
        <v>5026</v>
      </c>
      <c r="B13" s="62" t="str">
        <f t="shared" si="0"/>
        <v>TRANSISTOR,PNP DIGITAL,50V,0.1A,ROHM,DTA114,SC75</v>
      </c>
      <c r="C13" s="62" t="s">
        <v>3715</v>
      </c>
      <c r="D13" s="62" t="s">
        <v>15</v>
      </c>
      <c r="E13" s="62" t="s">
        <v>15</v>
      </c>
      <c r="F13" s="62" t="s">
        <v>15</v>
      </c>
      <c r="G13" s="62" t="s">
        <v>15</v>
      </c>
      <c r="H13" s="62" t="s">
        <v>87</v>
      </c>
      <c r="I13" s="62" t="s">
        <v>3716</v>
      </c>
      <c r="J13" s="62" t="s">
        <v>3717</v>
      </c>
      <c r="K13" s="62" t="s">
        <v>3718</v>
      </c>
      <c r="L13" s="62" t="s">
        <v>59</v>
      </c>
      <c r="M13" s="62" t="s">
        <v>981</v>
      </c>
    </row>
    <row r="14" spans="1:17" x14ac:dyDescent="0.25">
      <c r="A14" s="61" t="s">
        <v>5027</v>
      </c>
      <c r="B14" s="62" t="str">
        <f t="shared" si="0"/>
        <v>TRANSISTOR,NPN,40V,0.6A,ROHM,MMST4401,SC59</v>
      </c>
      <c r="C14" s="62" t="s">
        <v>3686</v>
      </c>
      <c r="D14" s="62" t="s">
        <v>15</v>
      </c>
      <c r="E14" s="62" t="s">
        <v>15</v>
      </c>
      <c r="F14" s="62" t="s">
        <v>15</v>
      </c>
      <c r="G14" s="62" t="s">
        <v>15</v>
      </c>
      <c r="H14" s="62" t="s">
        <v>87</v>
      </c>
      <c r="I14" s="62" t="s">
        <v>3719</v>
      </c>
      <c r="J14" s="62" t="s">
        <v>3720</v>
      </c>
      <c r="K14" s="62" t="s">
        <v>3721</v>
      </c>
      <c r="L14" s="62" t="s">
        <v>721</v>
      </c>
      <c r="M14" s="62" t="s">
        <v>3702</v>
      </c>
    </row>
    <row r="15" spans="1:17" x14ac:dyDescent="0.25">
      <c r="A15" s="61" t="s">
        <v>5028</v>
      </c>
      <c r="B15" s="62" t="str">
        <f t="shared" si="0"/>
        <v>TRANSISTOR,NPN,15V,0.2A,ONSEMI,MMBT2369,SOT23</v>
      </c>
      <c r="C15" s="62" t="s">
        <v>3686</v>
      </c>
      <c r="D15" s="62" t="s">
        <v>15</v>
      </c>
      <c r="E15" s="62" t="s">
        <v>15</v>
      </c>
      <c r="F15" s="62" t="s">
        <v>15</v>
      </c>
      <c r="G15" s="62" t="s">
        <v>15</v>
      </c>
      <c r="H15" s="62" t="s">
        <v>685</v>
      </c>
      <c r="I15" s="62" t="s">
        <v>3722</v>
      </c>
      <c r="J15" s="62" t="s">
        <v>693</v>
      </c>
      <c r="K15" s="62" t="s">
        <v>3723</v>
      </c>
      <c r="L15" s="62" t="s">
        <v>3724</v>
      </c>
      <c r="M15" s="62" t="s">
        <v>713</v>
      </c>
    </row>
    <row r="16" spans="1:17" x14ac:dyDescent="0.25">
      <c r="A16" s="61" t="s">
        <v>5029</v>
      </c>
      <c r="B16" s="62" t="str">
        <f t="shared" si="0"/>
        <v>TRANSISTOR,NPN,12V,0.1A,NEC,2SC3356,SOT23</v>
      </c>
      <c r="C16" s="62" t="s">
        <v>3686</v>
      </c>
      <c r="D16" s="62" t="s">
        <v>15</v>
      </c>
      <c r="E16" s="62" t="s">
        <v>15</v>
      </c>
      <c r="F16" s="62" t="s">
        <v>15</v>
      </c>
      <c r="G16" s="62" t="s">
        <v>15</v>
      </c>
      <c r="H16" s="62" t="s">
        <v>1661</v>
      </c>
      <c r="I16" s="62" t="s">
        <v>3725</v>
      </c>
      <c r="J16" s="62" t="s">
        <v>693</v>
      </c>
      <c r="K16" s="62" t="s">
        <v>3726</v>
      </c>
      <c r="L16" s="62" t="s">
        <v>1020</v>
      </c>
      <c r="M16" s="62" t="s">
        <v>981</v>
      </c>
    </row>
    <row r="17" spans="1:15" x14ac:dyDescent="0.25">
      <c r="A17" s="61" t="s">
        <v>5030</v>
      </c>
      <c r="B17" s="62" t="str">
        <f t="shared" si="0"/>
        <v>TRANSISTOR,NPN,40V,0.2A,ONSEMI,MMBT3904,SOT23</v>
      </c>
      <c r="C17" s="62" t="s">
        <v>3686</v>
      </c>
      <c r="D17" s="62" t="s">
        <v>15</v>
      </c>
      <c r="E17" s="62" t="s">
        <v>15</v>
      </c>
      <c r="F17" s="62" t="s">
        <v>15</v>
      </c>
      <c r="G17" s="62" t="s">
        <v>15</v>
      </c>
      <c r="H17" s="62" t="s">
        <v>685</v>
      </c>
      <c r="I17" s="62" t="s">
        <v>3695</v>
      </c>
      <c r="J17" s="62" t="s">
        <v>693</v>
      </c>
      <c r="K17" s="62" t="s">
        <v>3727</v>
      </c>
      <c r="L17" s="62" t="s">
        <v>721</v>
      </c>
      <c r="M17" s="62" t="s">
        <v>713</v>
      </c>
    </row>
    <row r="18" spans="1:15" x14ac:dyDescent="0.25">
      <c r="A18" s="61" t="s">
        <v>5031</v>
      </c>
      <c r="B18" s="62" t="str">
        <f t="shared" si="0"/>
        <v>TRANSISTOR,NPN,40V,0.2A,SIEMENS,SMBT3904,SOT23</v>
      </c>
      <c r="C18" s="62" t="s">
        <v>3686</v>
      </c>
      <c r="D18" s="62" t="s">
        <v>15</v>
      </c>
      <c r="E18" s="62" t="s">
        <v>15</v>
      </c>
      <c r="F18" s="62" t="s">
        <v>15</v>
      </c>
      <c r="G18" s="62" t="s">
        <v>15</v>
      </c>
      <c r="H18" s="62" t="s">
        <v>3728</v>
      </c>
      <c r="I18" s="62" t="s">
        <v>3729</v>
      </c>
      <c r="J18" s="62" t="s">
        <v>693</v>
      </c>
      <c r="K18" s="62" t="s">
        <v>3730</v>
      </c>
      <c r="L18" s="62" t="s">
        <v>721</v>
      </c>
      <c r="M18" s="62" t="s">
        <v>713</v>
      </c>
    </row>
    <row r="19" spans="1:15" x14ac:dyDescent="0.25">
      <c r="A19" s="61" t="s">
        <v>5032</v>
      </c>
      <c r="B19" s="62" t="str">
        <f t="shared" si="0"/>
        <v>TRANSISTOR,NPN,300V,0.5A,ONSEMI,MMBTA42LT1,SOT23</v>
      </c>
      <c r="C19" s="62" t="s">
        <v>3686</v>
      </c>
      <c r="D19" s="62" t="s">
        <v>15</v>
      </c>
      <c r="E19" s="62" t="s">
        <v>15</v>
      </c>
      <c r="F19" s="62" t="s">
        <v>15</v>
      </c>
      <c r="G19" s="62" t="s">
        <v>15</v>
      </c>
      <c r="H19" s="62" t="s">
        <v>685</v>
      </c>
      <c r="I19" s="62" t="s">
        <v>3731</v>
      </c>
      <c r="J19" s="62" t="s">
        <v>693</v>
      </c>
      <c r="K19" s="62" t="s">
        <v>3732</v>
      </c>
      <c r="L19" s="62" t="s">
        <v>945</v>
      </c>
      <c r="M19" s="62" t="s">
        <v>689</v>
      </c>
    </row>
    <row r="20" spans="1:15" x14ac:dyDescent="0.25">
      <c r="A20" s="61" t="s">
        <v>5033</v>
      </c>
      <c r="B20" s="62" t="str">
        <f t="shared" si="0"/>
        <v>TRANSISTOR,NPN,30V,0.1A,NXP,BC848B,SOT23</v>
      </c>
      <c r="C20" s="62" t="s">
        <v>3686</v>
      </c>
      <c r="D20" s="62" t="s">
        <v>15</v>
      </c>
      <c r="E20" s="62" t="s">
        <v>15</v>
      </c>
      <c r="F20" s="62" t="s">
        <v>15</v>
      </c>
      <c r="G20" s="62" t="s">
        <v>15</v>
      </c>
      <c r="H20" s="62" t="s">
        <v>699</v>
      </c>
      <c r="I20" s="62" t="s">
        <v>3733</v>
      </c>
      <c r="J20" s="62" t="s">
        <v>693</v>
      </c>
      <c r="K20" s="62" t="s">
        <v>3734</v>
      </c>
      <c r="L20" s="62" t="s">
        <v>714</v>
      </c>
      <c r="M20" s="62" t="s">
        <v>981</v>
      </c>
    </row>
    <row r="21" spans="1:15" x14ac:dyDescent="0.25">
      <c r="A21" s="61" t="s">
        <v>5034</v>
      </c>
      <c r="B21" s="62" t="str">
        <f t="shared" si="0"/>
        <v>TRANSISTOR,PNP,50V,0.1A,ONSEMI,MMUN2111LT1,SOT23</v>
      </c>
      <c r="C21" s="62" t="s">
        <v>3682</v>
      </c>
      <c r="D21" s="62" t="s">
        <v>15</v>
      </c>
      <c r="E21" s="62" t="s">
        <v>15</v>
      </c>
      <c r="F21" s="62" t="s">
        <v>15</v>
      </c>
      <c r="G21" s="62" t="s">
        <v>15</v>
      </c>
      <c r="H21" s="62" t="s">
        <v>685</v>
      </c>
      <c r="I21" s="62" t="s">
        <v>3735</v>
      </c>
      <c r="J21" s="62" t="s">
        <v>693</v>
      </c>
      <c r="K21" s="62" t="s">
        <v>3736</v>
      </c>
      <c r="L21" s="62" t="s">
        <v>59</v>
      </c>
      <c r="M21" s="62" t="s">
        <v>981</v>
      </c>
    </row>
    <row r="22" spans="1:15" x14ac:dyDescent="0.25">
      <c r="A22" s="61" t="s">
        <v>5035</v>
      </c>
      <c r="B22" s="62" t="str">
        <f t="shared" si="0"/>
        <v>TRANSISTOR,NPN, DUAL,40V,0.2A,NXP,MMBT3904DW1,SOT363</v>
      </c>
      <c r="C22" s="62" t="s">
        <v>5142</v>
      </c>
      <c r="D22" s="62" t="s">
        <v>15</v>
      </c>
      <c r="E22" s="62" t="s">
        <v>15</v>
      </c>
      <c r="F22" s="62" t="s">
        <v>15</v>
      </c>
      <c r="G22" s="62" t="s">
        <v>15</v>
      </c>
      <c r="H22" s="62" t="s">
        <v>699</v>
      </c>
      <c r="I22" s="62" t="s">
        <v>3737</v>
      </c>
      <c r="J22" s="62" t="s">
        <v>3713</v>
      </c>
      <c r="K22" s="62" t="s">
        <v>3738</v>
      </c>
      <c r="L22" s="62" t="s">
        <v>721</v>
      </c>
      <c r="M22" s="62" t="s">
        <v>713</v>
      </c>
    </row>
    <row r="23" spans="1:15" x14ac:dyDescent="0.25">
      <c r="A23" s="61" t="s">
        <v>5036</v>
      </c>
      <c r="B23" s="62" t="str">
        <f t="shared" si="0"/>
        <v>TRANSISTOR,NPN,40V,0.2A,CENTRAL SEMI,CMPT3904,SOT23</v>
      </c>
      <c r="C23" s="62" t="s">
        <v>3686</v>
      </c>
      <c r="D23" s="62" t="s">
        <v>15</v>
      </c>
      <c r="E23" s="62" t="s">
        <v>15</v>
      </c>
      <c r="F23" s="62" t="s">
        <v>15</v>
      </c>
      <c r="G23" s="62" t="s">
        <v>15</v>
      </c>
      <c r="H23" s="62" t="s">
        <v>3739</v>
      </c>
      <c r="I23" s="62" t="s">
        <v>3740</v>
      </c>
      <c r="J23" s="62" t="s">
        <v>693</v>
      </c>
      <c r="K23" s="62" t="s">
        <v>3741</v>
      </c>
      <c r="L23" s="62" t="s">
        <v>721</v>
      </c>
      <c r="M23" s="62" t="s">
        <v>713</v>
      </c>
    </row>
    <row r="24" spans="1:15" x14ac:dyDescent="0.25">
      <c r="A24" s="61" t="s">
        <v>5037</v>
      </c>
      <c r="B24" s="62" t="str">
        <f t="shared" si="0"/>
        <v>TRANSISTOR,NPN,15V,0.12A,NXP,BFG541,SOT223</v>
      </c>
      <c r="C24" s="62" t="s">
        <v>3686</v>
      </c>
      <c r="D24" s="62" t="s">
        <v>15</v>
      </c>
      <c r="E24" s="62" t="s">
        <v>15</v>
      </c>
      <c r="F24" s="62" t="s">
        <v>15</v>
      </c>
      <c r="G24" s="62" t="s">
        <v>15</v>
      </c>
      <c r="H24" s="62" t="s">
        <v>699</v>
      </c>
      <c r="I24" s="62" t="s">
        <v>3742</v>
      </c>
      <c r="J24" s="62" t="s">
        <v>1280</v>
      </c>
      <c r="K24" s="62" t="s">
        <v>3743</v>
      </c>
      <c r="L24" s="62" t="s">
        <v>3724</v>
      </c>
      <c r="M24" s="62" t="s">
        <v>3744</v>
      </c>
    </row>
    <row r="25" spans="1:15" x14ac:dyDescent="0.25">
      <c r="A25" s="61" t="s">
        <v>5038</v>
      </c>
      <c r="B25" s="62" t="str">
        <f t="shared" si="0"/>
        <v>TRANSISTOR,N-CHAN JFET,DUAL,50V,0.05A,INTERFET,U232,TO18-6</v>
      </c>
      <c r="C25" s="62" t="s">
        <v>5140</v>
      </c>
      <c r="D25" s="62" t="s">
        <v>15</v>
      </c>
      <c r="E25" s="62" t="s">
        <v>15</v>
      </c>
      <c r="F25" s="62" t="s">
        <v>15</v>
      </c>
      <c r="G25" s="62" t="s">
        <v>15</v>
      </c>
      <c r="H25" s="62" t="s">
        <v>3745</v>
      </c>
      <c r="I25" s="62" t="s">
        <v>3746</v>
      </c>
      <c r="J25" s="62" t="s">
        <v>3747</v>
      </c>
      <c r="K25" s="62" t="s">
        <v>3748</v>
      </c>
      <c r="L25" s="62" t="s">
        <v>59</v>
      </c>
      <c r="M25" s="62" t="s">
        <v>3749</v>
      </c>
    </row>
    <row r="26" spans="1:15" x14ac:dyDescent="0.25">
      <c r="A26" s="61" t="s">
        <v>5039</v>
      </c>
      <c r="B26" s="62" t="str">
        <f t="shared" si="0"/>
        <v>TRANSISTOR,PNP,40V,0.6A,ONSEMI,2N2907,TO18</v>
      </c>
      <c r="C26" s="62" t="s">
        <v>3682</v>
      </c>
      <c r="D26" s="62" t="s">
        <v>15</v>
      </c>
      <c r="E26" s="62" t="s">
        <v>15</v>
      </c>
      <c r="F26" s="62" t="s">
        <v>15</v>
      </c>
      <c r="G26" s="62" t="s">
        <v>15</v>
      </c>
      <c r="H26" s="62" t="s">
        <v>685</v>
      </c>
      <c r="I26" s="62" t="s">
        <v>3750</v>
      </c>
      <c r="J26" s="62" t="s">
        <v>3751</v>
      </c>
      <c r="K26" s="62" t="s">
        <v>3752</v>
      </c>
      <c r="L26" s="62" t="s">
        <v>721</v>
      </c>
      <c r="M26" s="62" t="s">
        <v>3702</v>
      </c>
    </row>
    <row r="27" spans="1:15" x14ac:dyDescent="0.25">
      <c r="A27" s="61" t="s">
        <v>5040</v>
      </c>
      <c r="B27" s="62" t="str">
        <f t="shared" si="0"/>
        <v>TRANSISTOR,THYRISTOR,600V,5A,TI,TIC106M,TO220</v>
      </c>
      <c r="C27" s="62" t="s">
        <v>3753</v>
      </c>
      <c r="D27" s="62" t="s">
        <v>15</v>
      </c>
      <c r="E27" s="62" t="s">
        <v>15</v>
      </c>
      <c r="F27" s="62" t="s">
        <v>15</v>
      </c>
      <c r="G27" s="62" t="s">
        <v>15</v>
      </c>
      <c r="H27" s="62" t="s">
        <v>1145</v>
      </c>
      <c r="I27" s="62" t="s">
        <v>3754</v>
      </c>
      <c r="J27" s="62" t="s">
        <v>780</v>
      </c>
      <c r="K27" s="62" t="s">
        <v>3755</v>
      </c>
      <c r="L27" s="62" t="s">
        <v>774</v>
      </c>
      <c r="M27" s="62" t="s">
        <v>950</v>
      </c>
    </row>
    <row r="28" spans="1:15" ht="30" x14ac:dyDescent="0.25">
      <c r="A28" s="61" t="s">
        <v>5041</v>
      </c>
      <c r="B28" s="62" t="str">
        <f t="shared" si="0"/>
        <v>TRANSISTOR,PNP, DUAL,12V,2.5A,DIODES INC,ZDT717CT,SM8</v>
      </c>
      <c r="C28" s="62" t="s">
        <v>5143</v>
      </c>
      <c r="D28" s="62" t="s">
        <v>15</v>
      </c>
      <c r="E28" s="62" t="s">
        <v>15</v>
      </c>
      <c r="F28" s="62" t="s">
        <v>15</v>
      </c>
      <c r="G28" s="62" t="s">
        <v>15</v>
      </c>
      <c r="H28" s="62" t="s">
        <v>724</v>
      </c>
      <c r="I28" s="62" t="s">
        <v>3756</v>
      </c>
      <c r="J28" s="62" t="s">
        <v>3757</v>
      </c>
      <c r="K28" s="62" t="s">
        <v>3758</v>
      </c>
      <c r="L28" s="62" t="s">
        <v>1020</v>
      </c>
      <c r="M28" s="62" t="s">
        <v>2726</v>
      </c>
      <c r="O28" s="62" t="s">
        <v>3756</v>
      </c>
    </row>
    <row r="29" spans="1:15" x14ac:dyDescent="0.25">
      <c r="A29" s="61" t="s">
        <v>5042</v>
      </c>
      <c r="B29" s="62" t="str">
        <f t="shared" si="0"/>
        <v>TRANSISTOR,NPN,30V,0.5A,NXP,BSR13,SOT23</v>
      </c>
      <c r="C29" s="62" t="s">
        <v>3686</v>
      </c>
      <c r="D29" s="62" t="s">
        <v>15</v>
      </c>
      <c r="E29" s="62" t="s">
        <v>15</v>
      </c>
      <c r="F29" s="62" t="s">
        <v>15</v>
      </c>
      <c r="G29" s="62" t="s">
        <v>15</v>
      </c>
      <c r="H29" s="62" t="s">
        <v>699</v>
      </c>
      <c r="I29" s="62" t="s">
        <v>3759</v>
      </c>
      <c r="J29" s="62" t="s">
        <v>693</v>
      </c>
      <c r="K29" s="62" t="s">
        <v>3760</v>
      </c>
      <c r="L29" s="62" t="s">
        <v>714</v>
      </c>
      <c r="M29" s="62" t="s">
        <v>689</v>
      </c>
    </row>
    <row r="30" spans="1:15" x14ac:dyDescent="0.25">
      <c r="A30" s="61" t="s">
        <v>5043</v>
      </c>
      <c r="B30" s="62" t="str">
        <f t="shared" si="0"/>
        <v>TRANSISTOR,PNP,65V,0.1A,NXP,BC856B,SOT23</v>
      </c>
      <c r="C30" s="62" t="s">
        <v>3682</v>
      </c>
      <c r="D30" s="62" t="s">
        <v>15</v>
      </c>
      <c r="E30" s="62" t="s">
        <v>15</v>
      </c>
      <c r="F30" s="62" t="s">
        <v>15</v>
      </c>
      <c r="G30" s="62" t="s">
        <v>15</v>
      </c>
      <c r="H30" s="62" t="s">
        <v>699</v>
      </c>
      <c r="I30" s="62" t="s">
        <v>3761</v>
      </c>
      <c r="J30" s="62" t="s">
        <v>693</v>
      </c>
      <c r="K30" s="62" t="s">
        <v>3762</v>
      </c>
      <c r="L30" s="62" t="s">
        <v>3685</v>
      </c>
      <c r="M30" s="62" t="s">
        <v>981</v>
      </c>
    </row>
    <row r="31" spans="1:15" x14ac:dyDescent="0.25">
      <c r="A31" s="61" t="s">
        <v>5044</v>
      </c>
      <c r="B31" s="62" t="str">
        <f t="shared" si="0"/>
        <v>TRANSISTOR,NPN,40V,0.2A,ONSEMI,MMBT3904,SOT23</v>
      </c>
      <c r="C31" s="62" t="s">
        <v>3686</v>
      </c>
      <c r="D31" s="62" t="s">
        <v>15</v>
      </c>
      <c r="E31" s="62" t="s">
        <v>15</v>
      </c>
      <c r="F31" s="62" t="s">
        <v>15</v>
      </c>
      <c r="G31" s="62" t="s">
        <v>15</v>
      </c>
      <c r="H31" s="62" t="s">
        <v>685</v>
      </c>
      <c r="I31" s="62" t="s">
        <v>3695</v>
      </c>
      <c r="J31" s="62" t="s">
        <v>693</v>
      </c>
      <c r="K31" s="62" t="s">
        <v>3763</v>
      </c>
      <c r="L31" s="62" t="s">
        <v>721</v>
      </c>
      <c r="M31" s="62" t="s">
        <v>713</v>
      </c>
    </row>
    <row r="32" spans="1:15" x14ac:dyDescent="0.25">
      <c r="A32" s="61" t="s">
        <v>5045</v>
      </c>
      <c r="B32" s="62" t="str">
        <f t="shared" si="0"/>
        <v>TRANSISTOR,PNP,80V,1.5A,DIOTEC,BD140-16-CDI,TO126</v>
      </c>
      <c r="C32" s="62" t="s">
        <v>3682</v>
      </c>
      <c r="D32" s="62" t="s">
        <v>15</v>
      </c>
      <c r="E32" s="62" t="s">
        <v>15</v>
      </c>
      <c r="F32" s="62" t="s">
        <v>15</v>
      </c>
      <c r="G32" s="62" t="s">
        <v>15</v>
      </c>
      <c r="H32" s="62" t="s">
        <v>836</v>
      </c>
      <c r="I32" s="62" t="s">
        <v>3764</v>
      </c>
      <c r="J32" s="62" t="s">
        <v>3765</v>
      </c>
      <c r="K32" s="62" t="s">
        <v>3766</v>
      </c>
      <c r="L32" s="62" t="s">
        <v>791</v>
      </c>
      <c r="M32" s="62" t="s">
        <v>880</v>
      </c>
    </row>
    <row r="33" spans="1:15" ht="45" x14ac:dyDescent="0.25">
      <c r="A33" s="61" t="s">
        <v>5046</v>
      </c>
      <c r="B33" s="62" t="str">
        <f t="shared" si="0"/>
        <v>TRANSISTOR,PNP,80V,1.5A,NXP,BD140,TO126</v>
      </c>
      <c r="C33" s="62" t="s">
        <v>3682</v>
      </c>
      <c r="D33" s="62" t="s">
        <v>15</v>
      </c>
      <c r="E33" s="62" t="s">
        <v>15</v>
      </c>
      <c r="F33" s="62" t="s">
        <v>15</v>
      </c>
      <c r="G33" s="62" t="s">
        <v>15</v>
      </c>
      <c r="H33" s="62" t="s">
        <v>699</v>
      </c>
      <c r="I33" s="62" t="s">
        <v>3767</v>
      </c>
      <c r="J33" s="62" t="s">
        <v>3765</v>
      </c>
      <c r="K33" s="62" t="s">
        <v>3768</v>
      </c>
      <c r="L33" s="62" t="s">
        <v>791</v>
      </c>
      <c r="M33" s="62" t="s">
        <v>880</v>
      </c>
      <c r="O33" s="62" t="s">
        <v>3769</v>
      </c>
    </row>
    <row r="34" spans="1:15" x14ac:dyDescent="0.25">
      <c r="A34" s="61" t="s">
        <v>5047</v>
      </c>
      <c r="B34" s="62" t="str">
        <f t="shared" ref="B34:B65" si="1">_xlfn.CONCAT("TRANSISTOR,",C34,",",L34,",",M34,",",H34,",",I34,",",J34)</f>
        <v>TRANSISTOR,PNP,40V,0.6A,DIOTEC,2N2907A,TO92</v>
      </c>
      <c r="C34" s="62" t="s">
        <v>3682</v>
      </c>
      <c r="D34" s="62" t="s">
        <v>15</v>
      </c>
      <c r="E34" s="62" t="s">
        <v>15</v>
      </c>
      <c r="F34" s="62" t="s">
        <v>15</v>
      </c>
      <c r="G34" s="62" t="s">
        <v>15</v>
      </c>
      <c r="H34" s="62" t="s">
        <v>836</v>
      </c>
      <c r="I34" s="62" t="s">
        <v>3770</v>
      </c>
      <c r="J34" s="62" t="s">
        <v>1540</v>
      </c>
      <c r="K34" s="62" t="s">
        <v>3771</v>
      </c>
      <c r="L34" s="62" t="s">
        <v>721</v>
      </c>
      <c r="M34" s="62" t="s">
        <v>3702</v>
      </c>
    </row>
    <row r="35" spans="1:15" x14ac:dyDescent="0.25">
      <c r="A35" s="61" t="s">
        <v>5048</v>
      </c>
      <c r="B35" s="62" t="str">
        <f t="shared" si="1"/>
        <v>TRANSISTOR,PNP,80V,1.5A,DIOTEC,BD140-10-CDI,TO126</v>
      </c>
      <c r="C35" s="62" t="s">
        <v>3682</v>
      </c>
      <c r="D35" s="62" t="s">
        <v>15</v>
      </c>
      <c r="E35" s="62" t="s">
        <v>15</v>
      </c>
      <c r="F35" s="62" t="s">
        <v>15</v>
      </c>
      <c r="G35" s="62" t="s">
        <v>15</v>
      </c>
      <c r="H35" s="62" t="s">
        <v>836</v>
      </c>
      <c r="I35" s="62" t="s">
        <v>3772</v>
      </c>
      <c r="J35" s="62" t="s">
        <v>3765</v>
      </c>
      <c r="K35" s="62" t="s">
        <v>3773</v>
      </c>
      <c r="L35" s="62" t="s">
        <v>791</v>
      </c>
      <c r="M35" s="62" t="s">
        <v>880</v>
      </c>
    </row>
    <row r="36" spans="1:15" x14ac:dyDescent="0.25">
      <c r="A36" s="61" t="s">
        <v>5049</v>
      </c>
      <c r="B36" s="62" t="str">
        <f t="shared" si="1"/>
        <v>TRANSISTOR,NPN,40V,0.6A,DIOTEC,2N2222,TO92</v>
      </c>
      <c r="C36" s="62" t="s">
        <v>3686</v>
      </c>
      <c r="D36" s="62" t="s">
        <v>15</v>
      </c>
      <c r="E36" s="62" t="s">
        <v>15</v>
      </c>
      <c r="F36" s="62" t="s">
        <v>15</v>
      </c>
      <c r="G36" s="62" t="s">
        <v>15</v>
      </c>
      <c r="H36" s="62" t="s">
        <v>836</v>
      </c>
      <c r="I36" s="62" t="s">
        <v>3774</v>
      </c>
      <c r="J36" s="62" t="s">
        <v>1540</v>
      </c>
      <c r="K36" s="62" t="s">
        <v>3775</v>
      </c>
      <c r="L36" s="62" t="s">
        <v>721</v>
      </c>
      <c r="M36" s="62" t="s">
        <v>3702</v>
      </c>
    </row>
    <row r="37" spans="1:15" x14ac:dyDescent="0.25">
      <c r="A37" s="61" t="s">
        <v>5050</v>
      </c>
      <c r="B37" s="62" t="str">
        <f t="shared" si="1"/>
        <v>TRANSISTOR,NPN,300V,0.5A,ONSEMI,MPSA42,TO92</v>
      </c>
      <c r="C37" s="62" t="s">
        <v>3686</v>
      </c>
      <c r="D37" s="62" t="s">
        <v>15</v>
      </c>
      <c r="E37" s="62" t="s">
        <v>15</v>
      </c>
      <c r="F37" s="62" t="s">
        <v>15</v>
      </c>
      <c r="G37" s="62" t="s">
        <v>15</v>
      </c>
      <c r="H37" s="62" t="s">
        <v>685</v>
      </c>
      <c r="I37" s="62" t="s">
        <v>3776</v>
      </c>
      <c r="J37" s="62" t="s">
        <v>1540</v>
      </c>
      <c r="K37" s="62" t="s">
        <v>3777</v>
      </c>
      <c r="L37" s="62" t="s">
        <v>945</v>
      </c>
      <c r="M37" s="62" t="s">
        <v>689</v>
      </c>
    </row>
    <row r="38" spans="1:15" x14ac:dyDescent="0.25">
      <c r="A38" s="61" t="s">
        <v>5051</v>
      </c>
      <c r="B38" s="62" t="str">
        <f t="shared" si="1"/>
        <v>TRANSISTOR,NPN, DARLINGTON,30V,0.5A,CDR,MPSA14-CDI,TO92</v>
      </c>
      <c r="C38" s="62" t="s">
        <v>5147</v>
      </c>
      <c r="D38" s="62" t="s">
        <v>15</v>
      </c>
      <c r="E38" s="62" t="s">
        <v>15</v>
      </c>
      <c r="F38" s="62" t="s">
        <v>15</v>
      </c>
      <c r="G38" s="62" t="s">
        <v>15</v>
      </c>
      <c r="H38" s="62" t="s">
        <v>3778</v>
      </c>
      <c r="I38" s="62" t="s">
        <v>3779</v>
      </c>
      <c r="J38" s="62" t="s">
        <v>1540</v>
      </c>
      <c r="K38" s="62" t="s">
        <v>3780</v>
      </c>
      <c r="L38" s="62" t="s">
        <v>714</v>
      </c>
      <c r="M38" s="62" t="s">
        <v>689</v>
      </c>
    </row>
    <row r="39" spans="1:15" x14ac:dyDescent="0.25">
      <c r="A39" s="61" t="s">
        <v>5052</v>
      </c>
      <c r="B39" s="62" t="str">
        <f t="shared" si="1"/>
        <v>TRANSISTOR,PNP,40V,0.2A,DIOTEC,2N3906-DIO,TO92</v>
      </c>
      <c r="C39" s="62" t="s">
        <v>3682</v>
      </c>
      <c r="D39" s="62" t="s">
        <v>15</v>
      </c>
      <c r="E39" s="62" t="s">
        <v>15</v>
      </c>
      <c r="F39" s="62" t="s">
        <v>15</v>
      </c>
      <c r="G39" s="62" t="s">
        <v>15</v>
      </c>
      <c r="H39" s="62" t="s">
        <v>836</v>
      </c>
      <c r="I39" s="62" t="s">
        <v>3781</v>
      </c>
      <c r="J39" s="62" t="s">
        <v>1540</v>
      </c>
      <c r="K39" s="62" t="s">
        <v>3782</v>
      </c>
      <c r="L39" s="62" t="s">
        <v>721</v>
      </c>
      <c r="M39" s="62" t="s">
        <v>713</v>
      </c>
    </row>
    <row r="40" spans="1:15" x14ac:dyDescent="0.25">
      <c r="A40" s="61" t="s">
        <v>5053</v>
      </c>
      <c r="B40" s="62" t="str">
        <f t="shared" si="1"/>
        <v>TRANSISTOR,NPN, DARLINGTON,30V,0.5A,ONSEMI,MPSA14,TO92</v>
      </c>
      <c r="C40" s="62" t="s">
        <v>5147</v>
      </c>
      <c r="D40" s="62" t="s">
        <v>15</v>
      </c>
      <c r="E40" s="62" t="s">
        <v>15</v>
      </c>
      <c r="F40" s="62" t="s">
        <v>15</v>
      </c>
      <c r="G40" s="62" t="s">
        <v>15</v>
      </c>
      <c r="H40" s="62" t="s">
        <v>685</v>
      </c>
      <c r="I40" s="62" t="s">
        <v>3783</v>
      </c>
      <c r="J40" s="62" t="s">
        <v>1540</v>
      </c>
      <c r="K40" s="62" t="s">
        <v>3784</v>
      </c>
      <c r="L40" s="62" t="s">
        <v>714</v>
      </c>
      <c r="M40" s="62" t="s">
        <v>689</v>
      </c>
    </row>
    <row r="41" spans="1:15" x14ac:dyDescent="0.25">
      <c r="A41" s="61" t="s">
        <v>5054</v>
      </c>
      <c r="B41" s="62" t="str">
        <f t="shared" si="1"/>
        <v>TRANSISTOR,PNP,60V,0.5A,ONSEMI,MPSA55,TO92</v>
      </c>
      <c r="C41" s="62" t="s">
        <v>3682</v>
      </c>
      <c r="D41" s="62" t="s">
        <v>15</v>
      </c>
      <c r="E41" s="62" t="s">
        <v>15</v>
      </c>
      <c r="F41" s="62" t="s">
        <v>15</v>
      </c>
      <c r="G41" s="62" t="s">
        <v>15</v>
      </c>
      <c r="H41" s="62" t="s">
        <v>685</v>
      </c>
      <c r="I41" s="62" t="s">
        <v>3785</v>
      </c>
      <c r="J41" s="62" t="s">
        <v>1540</v>
      </c>
      <c r="K41" s="62" t="s">
        <v>3786</v>
      </c>
      <c r="L41" s="62" t="s">
        <v>830</v>
      </c>
      <c r="M41" s="62" t="s">
        <v>689</v>
      </c>
    </row>
    <row r="42" spans="1:15" x14ac:dyDescent="0.25">
      <c r="A42" s="61" t="s">
        <v>5055</v>
      </c>
      <c r="B42" s="62" t="str">
        <f t="shared" si="1"/>
        <v>TRANSISTOR,NPN,60V,0.5A,ONSEMI,MPSA05,TO92</v>
      </c>
      <c r="C42" s="62" t="s">
        <v>3686</v>
      </c>
      <c r="D42" s="62" t="s">
        <v>15</v>
      </c>
      <c r="E42" s="62" t="s">
        <v>15</v>
      </c>
      <c r="F42" s="62" t="s">
        <v>15</v>
      </c>
      <c r="G42" s="62" t="s">
        <v>15</v>
      </c>
      <c r="H42" s="62" t="s">
        <v>685</v>
      </c>
      <c r="I42" s="62" t="s">
        <v>3709</v>
      </c>
      <c r="J42" s="62" t="s">
        <v>1540</v>
      </c>
      <c r="K42" s="62" t="s">
        <v>3710</v>
      </c>
      <c r="L42" s="62" t="s">
        <v>830</v>
      </c>
      <c r="M42" s="62" t="s">
        <v>689</v>
      </c>
    </row>
    <row r="43" spans="1:15" x14ac:dyDescent="0.25">
      <c r="A43" s="61" t="s">
        <v>5056</v>
      </c>
      <c r="B43" s="62" t="str">
        <f t="shared" si="1"/>
        <v>TRANSISTOR,PNP, DUAL,12V,2.5A,ZETEX,ZDT717TA,SM8</v>
      </c>
      <c r="C43" s="62" t="s">
        <v>5143</v>
      </c>
      <c r="D43" s="62" t="s">
        <v>15</v>
      </c>
      <c r="E43" s="62" t="s">
        <v>15</v>
      </c>
      <c r="F43" s="62" t="s">
        <v>15</v>
      </c>
      <c r="G43" s="62" t="s">
        <v>15</v>
      </c>
      <c r="H43" s="62" t="s">
        <v>3787</v>
      </c>
      <c r="I43" s="62" t="s">
        <v>3788</v>
      </c>
      <c r="J43" s="62" t="s">
        <v>3757</v>
      </c>
      <c r="K43" s="62" t="s">
        <v>3789</v>
      </c>
      <c r="L43" s="62" t="s">
        <v>1020</v>
      </c>
      <c r="M43" s="62" t="s">
        <v>2726</v>
      </c>
    </row>
    <row r="44" spans="1:15" x14ac:dyDescent="0.25">
      <c r="A44" s="61" t="s">
        <v>5057</v>
      </c>
      <c r="B44" s="62" t="str">
        <f t="shared" si="1"/>
        <v>TRANSISTOR,NPN, DARLINGTON,400V,6A,TOSHIBA,TTD1409B,ISO220</v>
      </c>
      <c r="C44" s="62" t="s">
        <v>5147</v>
      </c>
      <c r="D44" s="62" t="s">
        <v>15</v>
      </c>
      <c r="E44" s="62" t="s">
        <v>15</v>
      </c>
      <c r="F44" s="62" t="s">
        <v>15</v>
      </c>
      <c r="G44" s="62" t="s">
        <v>15</v>
      </c>
      <c r="H44" s="62" t="s">
        <v>1021</v>
      </c>
      <c r="I44" s="62" t="s">
        <v>3790</v>
      </c>
      <c r="J44" s="62" t="s">
        <v>2035</v>
      </c>
      <c r="K44" s="62" t="s">
        <v>3791</v>
      </c>
      <c r="L44" s="62" t="s">
        <v>758</v>
      </c>
      <c r="M44" s="62" t="s">
        <v>825</v>
      </c>
    </row>
    <row r="45" spans="1:15" x14ac:dyDescent="0.25">
      <c r="A45" s="61" t="s">
        <v>5058</v>
      </c>
      <c r="B45" s="62" t="str">
        <f t="shared" si="1"/>
        <v>TRANSISTOR,PNP,30V,0.1A,NXP,BC858C,SOT23</v>
      </c>
      <c r="C45" s="62" t="s">
        <v>3682</v>
      </c>
      <c r="D45" s="62" t="s">
        <v>15</v>
      </c>
      <c r="E45" s="62" t="s">
        <v>15</v>
      </c>
      <c r="F45" s="62" t="s">
        <v>15</v>
      </c>
      <c r="G45" s="62" t="s">
        <v>15</v>
      </c>
      <c r="H45" s="62" t="s">
        <v>699</v>
      </c>
      <c r="I45" s="62" t="s">
        <v>3792</v>
      </c>
      <c r="J45" s="62" t="s">
        <v>693</v>
      </c>
      <c r="K45" s="62" t="s">
        <v>3793</v>
      </c>
      <c r="L45" s="62" t="s">
        <v>714</v>
      </c>
      <c r="M45" s="62" t="s">
        <v>981</v>
      </c>
    </row>
    <row r="46" spans="1:15" x14ac:dyDescent="0.25">
      <c r="A46" s="61" t="s">
        <v>5059</v>
      </c>
      <c r="B46" s="62" t="str">
        <f t="shared" si="1"/>
        <v>TRANSISTOR,NPN,15V,0.2A,ITT,2N2369A,TO18</v>
      </c>
      <c r="C46" s="62" t="s">
        <v>3686</v>
      </c>
      <c r="D46" s="62" t="s">
        <v>15</v>
      </c>
      <c r="E46" s="62" t="s">
        <v>15</v>
      </c>
      <c r="F46" s="62" t="s">
        <v>15</v>
      </c>
      <c r="G46" s="62" t="s">
        <v>15</v>
      </c>
      <c r="H46" s="62" t="s">
        <v>3546</v>
      </c>
      <c r="I46" s="62" t="s">
        <v>3794</v>
      </c>
      <c r="J46" s="62" t="s">
        <v>3751</v>
      </c>
      <c r="K46" s="62" t="s">
        <v>3795</v>
      </c>
      <c r="L46" s="62" t="s">
        <v>3724</v>
      </c>
      <c r="M46" s="62" t="s">
        <v>713</v>
      </c>
    </row>
    <row r="47" spans="1:15" x14ac:dyDescent="0.25">
      <c r="A47" s="61" t="s">
        <v>5060</v>
      </c>
      <c r="B47" s="62" t="str">
        <f t="shared" si="1"/>
        <v>TRANSISTOR,NPN,10V,0.015A,ONSEMI,2N5835,TO72</v>
      </c>
      <c r="C47" s="62" t="s">
        <v>3686</v>
      </c>
      <c r="D47" s="62" t="s">
        <v>15</v>
      </c>
      <c r="E47" s="62" t="s">
        <v>15</v>
      </c>
      <c r="F47" s="62" t="s">
        <v>15</v>
      </c>
      <c r="G47" s="62" t="s">
        <v>15</v>
      </c>
      <c r="H47" s="62" t="s">
        <v>685</v>
      </c>
      <c r="I47" s="62" t="s">
        <v>3796</v>
      </c>
      <c r="J47" s="62" t="s">
        <v>3797</v>
      </c>
      <c r="K47" s="62" t="s">
        <v>3798</v>
      </c>
      <c r="L47" s="62" t="s">
        <v>50</v>
      </c>
      <c r="M47" s="62" t="s">
        <v>3799</v>
      </c>
    </row>
    <row r="48" spans="1:15" x14ac:dyDescent="0.25">
      <c r="A48" s="61" t="s">
        <v>5061</v>
      </c>
      <c r="B48" s="62" t="str">
        <f t="shared" si="1"/>
        <v>TRANSISTOR,NPN,40V,1A,NATIONAL,MPS6531,TO92</v>
      </c>
      <c r="C48" s="62" t="s">
        <v>3686</v>
      </c>
      <c r="D48" s="62" t="s">
        <v>15</v>
      </c>
      <c r="E48" s="62" t="s">
        <v>15</v>
      </c>
      <c r="F48" s="62" t="s">
        <v>15</v>
      </c>
      <c r="G48" s="62" t="s">
        <v>15</v>
      </c>
      <c r="H48" s="62" t="s">
        <v>1556</v>
      </c>
      <c r="I48" s="62" t="s">
        <v>3800</v>
      </c>
      <c r="J48" s="62" t="s">
        <v>1540</v>
      </c>
      <c r="K48" s="62" t="s">
        <v>3801</v>
      </c>
      <c r="L48" s="62" t="s">
        <v>721</v>
      </c>
      <c r="M48" s="62" t="s">
        <v>757</v>
      </c>
    </row>
    <row r="49" spans="1:16" x14ac:dyDescent="0.25">
      <c r="A49" s="61" t="s">
        <v>5062</v>
      </c>
      <c r="B49" s="62" t="str">
        <f t="shared" si="1"/>
        <v>TRANSISTOR,NPN,60V,25A,CENTRAL,TIP35,TO247</v>
      </c>
      <c r="C49" s="62" t="s">
        <v>3686</v>
      </c>
      <c r="D49" s="62" t="s">
        <v>15</v>
      </c>
      <c r="E49" s="62" t="s">
        <v>15</v>
      </c>
      <c r="F49" s="62" t="s">
        <v>15</v>
      </c>
      <c r="G49" s="62" t="s">
        <v>15</v>
      </c>
      <c r="H49" s="62" t="s">
        <v>3802</v>
      </c>
      <c r="I49" s="62" t="s">
        <v>3803</v>
      </c>
      <c r="J49" s="62" t="s">
        <v>1082</v>
      </c>
      <c r="K49" s="62" t="s">
        <v>3804</v>
      </c>
      <c r="L49" s="62" t="s">
        <v>830</v>
      </c>
      <c r="M49" s="62" t="s">
        <v>3805</v>
      </c>
    </row>
    <row r="50" spans="1:16" x14ac:dyDescent="0.25">
      <c r="A50" s="61" t="s">
        <v>5063</v>
      </c>
      <c r="B50" s="62" t="str">
        <f t="shared" si="1"/>
        <v>TRANSISTOR,PNP,100V,25A,TI,TIP36C,TO218</v>
      </c>
      <c r="C50" s="62" t="s">
        <v>3682</v>
      </c>
      <c r="D50" s="62" t="s">
        <v>15</v>
      </c>
      <c r="E50" s="62" t="s">
        <v>15</v>
      </c>
      <c r="F50" s="62" t="s">
        <v>15</v>
      </c>
      <c r="G50" s="62" t="s">
        <v>15</v>
      </c>
      <c r="H50" s="62" t="s">
        <v>1145</v>
      </c>
      <c r="I50" s="62" t="s">
        <v>3806</v>
      </c>
      <c r="J50" s="62" t="s">
        <v>3807</v>
      </c>
      <c r="K50" s="62" t="s">
        <v>3808</v>
      </c>
      <c r="L50" s="62" t="s">
        <v>198</v>
      </c>
      <c r="M50" s="62" t="s">
        <v>3805</v>
      </c>
    </row>
    <row r="51" spans="1:16" x14ac:dyDescent="0.25">
      <c r="A51" s="61" t="s">
        <v>5064</v>
      </c>
      <c r="B51" s="62" t="str">
        <f t="shared" si="1"/>
        <v>TRANSISTOR,NPN,15V,0.2A,SYNERTEC,2N2369A,TO18</v>
      </c>
      <c r="C51" s="62" t="s">
        <v>3686</v>
      </c>
      <c r="D51" s="62" t="s">
        <v>15</v>
      </c>
      <c r="E51" s="62" t="s">
        <v>15</v>
      </c>
      <c r="F51" s="62" t="s">
        <v>15</v>
      </c>
      <c r="G51" s="62" t="s">
        <v>15</v>
      </c>
      <c r="H51" s="62" t="s">
        <v>3809</v>
      </c>
      <c r="I51" s="62" t="s">
        <v>3794</v>
      </c>
      <c r="J51" s="62" t="s">
        <v>3751</v>
      </c>
      <c r="K51" s="62" t="s">
        <v>3810</v>
      </c>
      <c r="L51" s="62" t="s">
        <v>3724</v>
      </c>
      <c r="M51" s="62" t="s">
        <v>713</v>
      </c>
    </row>
    <row r="52" spans="1:16" x14ac:dyDescent="0.25">
      <c r="A52" s="61" t="s">
        <v>5065</v>
      </c>
      <c r="B52" s="62" t="str">
        <f t="shared" si="1"/>
        <v>TRANSISTOR,PNP,230V,15A,ST,2STA1943,TO264</v>
      </c>
      <c r="C52" s="62" t="s">
        <v>3682</v>
      </c>
      <c r="D52" s="62" t="s">
        <v>15</v>
      </c>
      <c r="E52" s="62" t="s">
        <v>15</v>
      </c>
      <c r="F52" s="62" t="s">
        <v>15</v>
      </c>
      <c r="G52" s="62" t="s">
        <v>15</v>
      </c>
      <c r="H52" s="62" t="s">
        <v>807</v>
      </c>
      <c r="I52" s="62" t="s">
        <v>3811</v>
      </c>
      <c r="J52" s="62" t="s">
        <v>3812</v>
      </c>
      <c r="K52" s="62" t="s">
        <v>3813</v>
      </c>
      <c r="L52" s="62" t="s">
        <v>3814</v>
      </c>
      <c r="M52" s="62" t="s">
        <v>942</v>
      </c>
    </row>
    <row r="53" spans="1:16" x14ac:dyDescent="0.25">
      <c r="A53" s="61" t="s">
        <v>5066</v>
      </c>
      <c r="B53" s="62" t="str">
        <f t="shared" si="1"/>
        <v>TRANSISTOR,THYRISTOR,200V,20A,TECCOR (LITTELFUSE),S2020,TO220</v>
      </c>
      <c r="C53" s="62" t="s">
        <v>3753</v>
      </c>
      <c r="D53" s="62" t="s">
        <v>15</v>
      </c>
      <c r="E53" s="62" t="s">
        <v>15</v>
      </c>
      <c r="F53" s="62" t="s">
        <v>15</v>
      </c>
      <c r="G53" s="62" t="s">
        <v>15</v>
      </c>
      <c r="H53" s="62" t="s">
        <v>3815</v>
      </c>
      <c r="I53" s="62" t="s">
        <v>3816</v>
      </c>
      <c r="J53" s="62" t="s">
        <v>780</v>
      </c>
      <c r="K53" s="62" t="s">
        <v>3817</v>
      </c>
      <c r="L53" s="62" t="s">
        <v>794</v>
      </c>
      <c r="M53" s="62" t="s">
        <v>904</v>
      </c>
    </row>
    <row r="54" spans="1:16" x14ac:dyDescent="0.25">
      <c r="A54" s="61" t="s">
        <v>5067</v>
      </c>
      <c r="B54" s="62" t="str">
        <f t="shared" si="1"/>
        <v>TRANSISTOR,THYRISTOR,400V,35A,ONSEMI,MCR265,TO220</v>
      </c>
      <c r="C54" s="62" t="s">
        <v>3753</v>
      </c>
      <c r="D54" s="62" t="s">
        <v>15</v>
      </c>
      <c r="E54" s="62" t="s">
        <v>15</v>
      </c>
      <c r="F54" s="62" t="s">
        <v>15</v>
      </c>
      <c r="G54" s="62" t="s">
        <v>15</v>
      </c>
      <c r="H54" s="62" t="s">
        <v>685</v>
      </c>
      <c r="I54" s="62" t="s">
        <v>3818</v>
      </c>
      <c r="J54" s="62" t="s">
        <v>780</v>
      </c>
      <c r="K54" s="62" t="s">
        <v>3819</v>
      </c>
      <c r="L54" s="62" t="s">
        <v>758</v>
      </c>
      <c r="M54" s="62" t="s">
        <v>3820</v>
      </c>
    </row>
    <row r="55" spans="1:16" x14ac:dyDescent="0.25">
      <c r="A55" s="61" t="s">
        <v>5068</v>
      </c>
      <c r="B55" s="62" t="str">
        <f t="shared" si="1"/>
        <v>TRANSISTOR,P-CHAN, JFET,30V,0.015A,INTERFET,J270,TO92</v>
      </c>
      <c r="C55" s="62" t="s">
        <v>5145</v>
      </c>
      <c r="D55" s="62" t="s">
        <v>15</v>
      </c>
      <c r="E55" s="62" t="s">
        <v>15</v>
      </c>
      <c r="F55" s="62" t="s">
        <v>15</v>
      </c>
      <c r="G55" s="62" t="s">
        <v>15</v>
      </c>
      <c r="H55" s="62" t="s">
        <v>3745</v>
      </c>
      <c r="I55" s="62" t="s">
        <v>3821</v>
      </c>
      <c r="J55" s="62" t="s">
        <v>1540</v>
      </c>
      <c r="K55" s="62" t="s">
        <v>3822</v>
      </c>
      <c r="L55" s="62" t="s">
        <v>714</v>
      </c>
      <c r="M55" s="62" t="s">
        <v>3799</v>
      </c>
    </row>
    <row r="56" spans="1:16" ht="30" x14ac:dyDescent="0.25">
      <c r="A56" s="61" t="s">
        <v>5069</v>
      </c>
      <c r="B56" s="62" t="str">
        <f t="shared" si="1"/>
        <v>TRANSISTOR,N-CHAN, JFET,25V,0.005A,FAIRCHILD,J109,TO92</v>
      </c>
      <c r="C56" s="62" t="s">
        <v>5144</v>
      </c>
      <c r="D56" s="62" t="s">
        <v>15</v>
      </c>
      <c r="E56" s="62" t="s">
        <v>15</v>
      </c>
      <c r="F56" s="62" t="s">
        <v>15</v>
      </c>
      <c r="G56" s="62" t="s">
        <v>15</v>
      </c>
      <c r="H56" s="62" t="s">
        <v>764</v>
      </c>
      <c r="I56" s="62" t="s">
        <v>3823</v>
      </c>
      <c r="J56" s="62" t="s">
        <v>1540</v>
      </c>
      <c r="K56" s="62" t="s">
        <v>3824</v>
      </c>
      <c r="L56" s="62" t="s">
        <v>81</v>
      </c>
      <c r="M56" s="62" t="s">
        <v>3705</v>
      </c>
      <c r="P56" s="62" t="s">
        <v>3825</v>
      </c>
    </row>
    <row r="57" spans="1:16" x14ac:dyDescent="0.25">
      <c r="A57" s="61" t="s">
        <v>5070</v>
      </c>
      <c r="B57" s="62" t="str">
        <f t="shared" si="1"/>
        <v>TRANSISTOR,P-MOS,20V,2.5A, ST,STS2DPFS20V,SO8</v>
      </c>
      <c r="C57" s="62" t="s">
        <v>4016</v>
      </c>
      <c r="D57" s="62" t="s">
        <v>15</v>
      </c>
      <c r="E57" s="62" t="s">
        <v>15</v>
      </c>
      <c r="F57" s="62" t="s">
        <v>15</v>
      </c>
      <c r="G57" s="62" t="s">
        <v>15</v>
      </c>
      <c r="H57" s="62" t="s">
        <v>3826</v>
      </c>
      <c r="I57" s="62" t="s">
        <v>3827</v>
      </c>
      <c r="J57" s="62" t="s">
        <v>1147</v>
      </c>
      <c r="K57" s="62" t="s">
        <v>3828</v>
      </c>
      <c r="L57" s="62" t="s">
        <v>2709</v>
      </c>
      <c r="M57" s="62" t="s">
        <v>2726</v>
      </c>
    </row>
    <row r="58" spans="1:16" x14ac:dyDescent="0.25">
      <c r="A58" s="61" t="s">
        <v>5071</v>
      </c>
      <c r="B58" s="62" t="str">
        <f t="shared" si="1"/>
        <v>TRANSISTOR,N-MOS,30V,50A,KIA,KIA50N03AD,DPAK</v>
      </c>
      <c r="C58" s="62" t="s">
        <v>4017</v>
      </c>
      <c r="D58" s="62" t="s">
        <v>15</v>
      </c>
      <c r="E58" s="62" t="s">
        <v>15</v>
      </c>
      <c r="F58" s="62" t="s">
        <v>15</v>
      </c>
      <c r="G58" s="62" t="s">
        <v>15</v>
      </c>
      <c r="H58" s="62" t="s">
        <v>3829</v>
      </c>
      <c r="I58" s="62" t="s">
        <v>3830</v>
      </c>
      <c r="J58" s="62" t="s">
        <v>932</v>
      </c>
      <c r="K58" s="62" t="s">
        <v>3831</v>
      </c>
      <c r="L58" s="62" t="s">
        <v>714</v>
      </c>
      <c r="M58" s="62" t="s">
        <v>3832</v>
      </c>
    </row>
    <row r="59" spans="1:16" ht="30" x14ac:dyDescent="0.25">
      <c r="A59" s="61" t="s">
        <v>5072</v>
      </c>
      <c r="B59" s="62" t="str">
        <f t="shared" si="1"/>
        <v>TRANSISTOR,N-MOS,600V,6A,INFINEON,IPA60R280P7SXXKSA1,ISO220</v>
      </c>
      <c r="C59" s="62" t="s">
        <v>4017</v>
      </c>
      <c r="D59" s="62" t="s">
        <v>15</v>
      </c>
      <c r="E59" s="62" t="s">
        <v>15</v>
      </c>
      <c r="F59" s="62" t="s">
        <v>15</v>
      </c>
      <c r="G59" s="62" t="s">
        <v>15</v>
      </c>
      <c r="H59" s="62" t="s">
        <v>2701</v>
      </c>
      <c r="I59" s="62" t="s">
        <v>3833</v>
      </c>
      <c r="J59" s="62" t="s">
        <v>2035</v>
      </c>
      <c r="K59" s="62" t="s">
        <v>3834</v>
      </c>
      <c r="L59" s="62" t="s">
        <v>774</v>
      </c>
      <c r="M59" s="62" t="s">
        <v>825</v>
      </c>
    </row>
    <row r="60" spans="1:16" x14ac:dyDescent="0.25">
      <c r="A60" s="61" t="s">
        <v>5073</v>
      </c>
      <c r="B60" s="62" t="str">
        <f t="shared" si="1"/>
        <v>TRANSISTOR,PNP,65V,0.1A,NXP,BC856B,SOT23</v>
      </c>
      <c r="C60" s="62" t="s">
        <v>3682</v>
      </c>
      <c r="D60" s="62" t="s">
        <v>15</v>
      </c>
      <c r="E60" s="62" t="s">
        <v>15</v>
      </c>
      <c r="F60" s="62" t="s">
        <v>15</v>
      </c>
      <c r="G60" s="62" t="s">
        <v>15</v>
      </c>
      <c r="H60" s="62" t="s">
        <v>699</v>
      </c>
      <c r="I60" s="62" t="s">
        <v>3761</v>
      </c>
      <c r="J60" s="62" t="s">
        <v>693</v>
      </c>
      <c r="K60" s="62" t="s">
        <v>3835</v>
      </c>
      <c r="L60" s="62" t="s">
        <v>3685</v>
      </c>
      <c r="M60" s="62" t="s">
        <v>981</v>
      </c>
    </row>
    <row r="61" spans="1:16" x14ac:dyDescent="0.25">
      <c r="A61" s="61" t="s">
        <v>5074</v>
      </c>
      <c r="B61" s="62" t="str">
        <f t="shared" si="1"/>
        <v>TRANSISTOR,PNP,40V,0.6A,ONSEMI,2N2907,TO18</v>
      </c>
      <c r="C61" s="62" t="s">
        <v>3682</v>
      </c>
      <c r="D61" s="62" t="s">
        <v>15</v>
      </c>
      <c r="E61" s="62" t="s">
        <v>15</v>
      </c>
      <c r="F61" s="62" t="s">
        <v>15</v>
      </c>
      <c r="G61" s="62" t="s">
        <v>15</v>
      </c>
      <c r="H61" s="62" t="s">
        <v>685</v>
      </c>
      <c r="I61" s="62" t="s">
        <v>3750</v>
      </c>
      <c r="J61" s="62" t="s">
        <v>3751</v>
      </c>
      <c r="K61" s="62" t="s">
        <v>3836</v>
      </c>
      <c r="L61" s="62" t="s">
        <v>721</v>
      </c>
      <c r="M61" s="62" t="s">
        <v>3702</v>
      </c>
    </row>
    <row r="62" spans="1:16" x14ac:dyDescent="0.25">
      <c r="A62" s="61" t="s">
        <v>5075</v>
      </c>
      <c r="B62" s="62" t="str">
        <f t="shared" si="1"/>
        <v>TRANSISTOR,N-CHAN, JFET,35V,0.02A,INTERFET,J111,TO92</v>
      </c>
      <c r="C62" s="62" t="s">
        <v>5144</v>
      </c>
      <c r="D62" s="62" t="s">
        <v>15</v>
      </c>
      <c r="E62" s="62" t="s">
        <v>15</v>
      </c>
      <c r="F62" s="62" t="s">
        <v>15</v>
      </c>
      <c r="G62" s="62" t="s">
        <v>15</v>
      </c>
      <c r="H62" s="62" t="s">
        <v>3745</v>
      </c>
      <c r="I62" s="62" t="s">
        <v>3837</v>
      </c>
      <c r="J62" s="62" t="s">
        <v>1540</v>
      </c>
      <c r="K62" s="62" t="s">
        <v>3838</v>
      </c>
      <c r="L62" s="62" t="s">
        <v>210</v>
      </c>
      <c r="M62" s="62" t="s">
        <v>3839</v>
      </c>
    </row>
    <row r="63" spans="1:16" ht="30" x14ac:dyDescent="0.25">
      <c r="A63" s="61" t="s">
        <v>5076</v>
      </c>
      <c r="B63" s="62" t="str">
        <f t="shared" si="1"/>
        <v>TRANSISTOR,N-MOS,600V,18A,INFINEON,IPA60R180P7SXKSA1,ISO220</v>
      </c>
      <c r="C63" s="62" t="s">
        <v>4017</v>
      </c>
      <c r="D63" s="62" t="s">
        <v>15</v>
      </c>
      <c r="E63" s="62" t="s">
        <v>15</v>
      </c>
      <c r="F63" s="62" t="s">
        <v>15</v>
      </c>
      <c r="G63" s="62" t="s">
        <v>15</v>
      </c>
      <c r="H63" s="62" t="s">
        <v>2701</v>
      </c>
      <c r="I63" s="62" t="s">
        <v>3840</v>
      </c>
      <c r="J63" s="62" t="s">
        <v>2035</v>
      </c>
      <c r="K63" s="62" t="s">
        <v>3841</v>
      </c>
      <c r="L63" s="62" t="s">
        <v>774</v>
      </c>
      <c r="M63" s="62" t="s">
        <v>3842</v>
      </c>
    </row>
    <row r="64" spans="1:16" x14ac:dyDescent="0.25">
      <c r="A64" s="61" t="s">
        <v>5077</v>
      </c>
      <c r="B64" s="62" t="str">
        <f t="shared" si="1"/>
        <v>TRANSISTOR,PNP,250V,16A,ONSEMI,MJL21193,TO264</v>
      </c>
      <c r="C64" s="62" t="s">
        <v>3682</v>
      </c>
      <c r="D64" s="62" t="s">
        <v>15</v>
      </c>
      <c r="E64" s="62" t="s">
        <v>15</v>
      </c>
      <c r="F64" s="62" t="s">
        <v>15</v>
      </c>
      <c r="G64" s="62" t="s">
        <v>15</v>
      </c>
      <c r="H64" s="62" t="s">
        <v>685</v>
      </c>
      <c r="I64" s="62" t="s">
        <v>3843</v>
      </c>
      <c r="J64" s="62" t="s">
        <v>3812</v>
      </c>
      <c r="K64" s="62" t="s">
        <v>3844</v>
      </c>
      <c r="L64" s="62" t="s">
        <v>218</v>
      </c>
      <c r="M64" s="62" t="s">
        <v>888</v>
      </c>
    </row>
    <row r="65" spans="1:13" x14ac:dyDescent="0.25">
      <c r="A65" s="61" t="s">
        <v>5078</v>
      </c>
      <c r="B65" s="62" t="str">
        <f t="shared" si="1"/>
        <v>TRANSISTOR,NPN,60V,0.6A,NXP,PN2222,TO92</v>
      </c>
      <c r="C65" s="62" t="s">
        <v>3686</v>
      </c>
      <c r="D65" s="62" t="s">
        <v>15</v>
      </c>
      <c r="E65" s="62" t="s">
        <v>15</v>
      </c>
      <c r="F65" s="62" t="s">
        <v>15</v>
      </c>
      <c r="G65" s="62" t="s">
        <v>15</v>
      </c>
      <c r="H65" s="62" t="s">
        <v>699</v>
      </c>
      <c r="I65" s="62" t="s">
        <v>3845</v>
      </c>
      <c r="J65" s="62" t="s">
        <v>1540</v>
      </c>
      <c r="K65" s="62" t="s">
        <v>3846</v>
      </c>
      <c r="L65" s="62" t="s">
        <v>830</v>
      </c>
      <c r="M65" s="62" t="s">
        <v>3702</v>
      </c>
    </row>
    <row r="66" spans="1:13" x14ac:dyDescent="0.25">
      <c r="A66" s="61" t="s">
        <v>5079</v>
      </c>
      <c r="B66" s="62" t="str">
        <f t="shared" ref="B66:B96" si="2">_xlfn.CONCAT("TRANSISTOR,",C66,",",L66,",",M66,",",H66,",",I66,",",J66)</f>
        <v>TRANSISTOR,PNP,250V,16A,ONSEMI,MJL21193,TO264</v>
      </c>
      <c r="C66" s="62" t="s">
        <v>3682</v>
      </c>
      <c r="D66" s="62" t="s">
        <v>15</v>
      </c>
      <c r="E66" s="62" t="s">
        <v>15</v>
      </c>
      <c r="F66" s="62" t="s">
        <v>15</v>
      </c>
      <c r="G66" s="62" t="s">
        <v>15</v>
      </c>
      <c r="H66" s="62" t="s">
        <v>685</v>
      </c>
      <c r="I66" s="62" t="s">
        <v>3843</v>
      </c>
      <c r="J66" s="62" t="s">
        <v>3812</v>
      </c>
      <c r="K66" s="62" t="s">
        <v>3847</v>
      </c>
      <c r="L66" s="62" t="s">
        <v>218</v>
      </c>
      <c r="M66" s="62" t="s">
        <v>888</v>
      </c>
    </row>
    <row r="67" spans="1:13" x14ac:dyDescent="0.25">
      <c r="A67" s="61" t="s">
        <v>5080</v>
      </c>
      <c r="B67" s="62" t="str">
        <f t="shared" si="2"/>
        <v>TRANSISTOR,NPN,60V,0.6A,ONSEMI,MMBT2222A,SOT23</v>
      </c>
      <c r="C67" s="62" t="s">
        <v>3686</v>
      </c>
      <c r="D67" s="62" t="s">
        <v>15</v>
      </c>
      <c r="E67" s="62" t="s">
        <v>15</v>
      </c>
      <c r="F67" s="62" t="s">
        <v>15</v>
      </c>
      <c r="G67" s="62" t="s">
        <v>15</v>
      </c>
      <c r="H67" s="62" t="s">
        <v>685</v>
      </c>
      <c r="I67" s="62" t="s">
        <v>3848</v>
      </c>
      <c r="J67" s="62" t="s">
        <v>693</v>
      </c>
      <c r="K67" s="62" t="s">
        <v>3849</v>
      </c>
      <c r="L67" s="62" t="s">
        <v>830</v>
      </c>
      <c r="M67" s="62" t="s">
        <v>3702</v>
      </c>
    </row>
    <row r="68" spans="1:13" x14ac:dyDescent="0.25">
      <c r="A68" s="61" t="s">
        <v>5081</v>
      </c>
      <c r="B68" s="62" t="str">
        <f t="shared" si="2"/>
        <v>TRANSISTOR,PNP,40V,0.6A,ONSEMI,MMBT2907A,SOT23</v>
      </c>
      <c r="C68" s="62" t="s">
        <v>3682</v>
      </c>
      <c r="D68" s="62" t="s">
        <v>15</v>
      </c>
      <c r="E68" s="62" t="s">
        <v>15</v>
      </c>
      <c r="F68" s="62" t="s">
        <v>15</v>
      </c>
      <c r="G68" s="62" t="s">
        <v>15</v>
      </c>
      <c r="H68" s="62" t="s">
        <v>685</v>
      </c>
      <c r="I68" s="62" t="s">
        <v>3850</v>
      </c>
      <c r="J68" s="62" t="s">
        <v>693</v>
      </c>
      <c r="K68" s="62" t="s">
        <v>3851</v>
      </c>
      <c r="L68" s="62" t="s">
        <v>721</v>
      </c>
      <c r="M68" s="62" t="s">
        <v>3702</v>
      </c>
    </row>
    <row r="69" spans="1:13" x14ac:dyDescent="0.25">
      <c r="A69" s="61" t="s">
        <v>5082</v>
      </c>
      <c r="B69" s="62" t="str">
        <f t="shared" si="2"/>
        <v>TRANSISTOR,ZENER,1V8,0.25W,CENTRAL,CMSZ1L8,SOD323</v>
      </c>
      <c r="C69" s="62" t="s">
        <v>708</v>
      </c>
      <c r="D69" s="62" t="s">
        <v>15</v>
      </c>
      <c r="E69" s="62" t="s">
        <v>15</v>
      </c>
      <c r="F69" s="62" t="s">
        <v>15</v>
      </c>
      <c r="G69" s="62" t="s">
        <v>15</v>
      </c>
      <c r="H69" s="62" t="s">
        <v>3802</v>
      </c>
      <c r="I69" s="62" t="s">
        <v>3852</v>
      </c>
      <c r="J69" s="62" t="s">
        <v>965</v>
      </c>
      <c r="K69" s="62" t="s">
        <v>3853</v>
      </c>
      <c r="L69" s="62" t="s">
        <v>3854</v>
      </c>
      <c r="M69" s="62" t="s">
        <v>970</v>
      </c>
    </row>
    <row r="70" spans="1:13" x14ac:dyDescent="0.25">
      <c r="A70" s="61" t="s">
        <v>5083</v>
      </c>
      <c r="B70" s="62" t="str">
        <f t="shared" si="2"/>
        <v>TRANSISTOR,NPN,40V,0.2A,ONSEMI,MMBT3904,SOT23</v>
      </c>
      <c r="C70" s="62" t="s">
        <v>3686</v>
      </c>
      <c r="D70" s="62" t="s">
        <v>15</v>
      </c>
      <c r="E70" s="62" t="s">
        <v>15</v>
      </c>
      <c r="F70" s="62" t="s">
        <v>15</v>
      </c>
      <c r="G70" s="62" t="s">
        <v>15</v>
      </c>
      <c r="H70" s="62" t="s">
        <v>685</v>
      </c>
      <c r="I70" s="62" t="s">
        <v>3695</v>
      </c>
      <c r="J70" s="62" t="s">
        <v>693</v>
      </c>
      <c r="K70" s="62" t="s">
        <v>3855</v>
      </c>
      <c r="L70" s="62" t="s">
        <v>721</v>
      </c>
      <c r="M70" s="62" t="s">
        <v>713</v>
      </c>
    </row>
    <row r="71" spans="1:13" x14ac:dyDescent="0.25">
      <c r="A71" s="61" t="s">
        <v>5084</v>
      </c>
      <c r="B71" s="62" t="str">
        <f t="shared" si="2"/>
        <v>TRANSISTOR,PNP,40V,0.1A,NXP,PUMT1,SOT363</v>
      </c>
      <c r="C71" s="62" t="s">
        <v>3682</v>
      </c>
      <c r="D71" s="62" t="s">
        <v>15</v>
      </c>
      <c r="E71" s="62" t="s">
        <v>15</v>
      </c>
      <c r="F71" s="62" t="s">
        <v>15</v>
      </c>
      <c r="G71" s="62" t="s">
        <v>15</v>
      </c>
      <c r="H71" s="62" t="s">
        <v>699</v>
      </c>
      <c r="I71" s="62" t="s">
        <v>3856</v>
      </c>
      <c r="J71" s="62" t="s">
        <v>3713</v>
      </c>
      <c r="K71" s="62" t="s">
        <v>3857</v>
      </c>
      <c r="L71" s="62" t="s">
        <v>721</v>
      </c>
      <c r="M71" s="62" t="s">
        <v>981</v>
      </c>
    </row>
    <row r="72" spans="1:13" x14ac:dyDescent="0.25">
      <c r="A72" s="61" t="s">
        <v>5085</v>
      </c>
      <c r="B72" s="62" t="str">
        <f t="shared" si="2"/>
        <v>TRANSISTOR,NPN,48V,0.8A,NXP,BC337,TO92</v>
      </c>
      <c r="C72" s="62" t="s">
        <v>3686</v>
      </c>
      <c r="D72" s="62" t="s">
        <v>15</v>
      </c>
      <c r="E72" s="62" t="s">
        <v>15</v>
      </c>
      <c r="F72" s="62" t="s">
        <v>15</v>
      </c>
      <c r="G72" s="62" t="s">
        <v>15</v>
      </c>
      <c r="H72" s="62" t="s">
        <v>699</v>
      </c>
      <c r="I72" s="62" t="s">
        <v>3858</v>
      </c>
      <c r="J72" s="62" t="s">
        <v>1540</v>
      </c>
      <c r="K72" s="62" t="s">
        <v>3859</v>
      </c>
      <c r="L72" s="62" t="s">
        <v>4015</v>
      </c>
      <c r="M72" s="62" t="s">
        <v>747</v>
      </c>
    </row>
    <row r="73" spans="1:13" x14ac:dyDescent="0.25">
      <c r="A73" s="61" t="s">
        <v>5086</v>
      </c>
      <c r="B73" s="62" t="str">
        <f t="shared" si="2"/>
        <v>TRANSISTOR,NPN,40V,0.2A,DIOTEC,2N3904,TO92</v>
      </c>
      <c r="C73" s="62" t="s">
        <v>3686</v>
      </c>
      <c r="D73" s="62" t="s">
        <v>15</v>
      </c>
      <c r="E73" s="62" t="s">
        <v>15</v>
      </c>
      <c r="F73" s="62" t="s">
        <v>15</v>
      </c>
      <c r="G73" s="62" t="s">
        <v>15</v>
      </c>
      <c r="H73" s="62" t="s">
        <v>836</v>
      </c>
      <c r="I73" s="62" t="s">
        <v>3860</v>
      </c>
      <c r="J73" s="62" t="s">
        <v>1540</v>
      </c>
      <c r="K73" s="62" t="s">
        <v>3861</v>
      </c>
      <c r="L73" s="62" t="s">
        <v>721</v>
      </c>
      <c r="M73" s="62" t="s">
        <v>713</v>
      </c>
    </row>
    <row r="74" spans="1:13" x14ac:dyDescent="0.25">
      <c r="A74" s="61" t="s">
        <v>5087</v>
      </c>
      <c r="B74" s="62" t="str">
        <f t="shared" si="2"/>
        <v>TRANSISTOR,PNP,40V,0.2A,DIOTEC,2N3906,TO92</v>
      </c>
      <c r="C74" s="62" t="s">
        <v>3682</v>
      </c>
      <c r="D74" s="62" t="s">
        <v>15</v>
      </c>
      <c r="E74" s="62" t="s">
        <v>15</v>
      </c>
      <c r="F74" s="62" t="s">
        <v>15</v>
      </c>
      <c r="G74" s="62" t="s">
        <v>15</v>
      </c>
      <c r="H74" s="62" t="s">
        <v>836</v>
      </c>
      <c r="I74" s="62" t="s">
        <v>3862</v>
      </c>
      <c r="J74" s="62" t="s">
        <v>1540</v>
      </c>
      <c r="K74" s="62" t="s">
        <v>3863</v>
      </c>
      <c r="L74" s="62" t="s">
        <v>721</v>
      </c>
      <c r="M74" s="62" t="s">
        <v>713</v>
      </c>
    </row>
    <row r="75" spans="1:13" x14ac:dyDescent="0.25">
      <c r="A75" s="61" t="s">
        <v>5088</v>
      </c>
      <c r="B75" s="62" t="str">
        <f t="shared" si="2"/>
        <v>TRANSISTOR,PNP,45V,0.8A,FAIRCHILD,BC327,TO92</v>
      </c>
      <c r="C75" s="62" t="s">
        <v>3682</v>
      </c>
      <c r="D75" s="62" t="s">
        <v>15</v>
      </c>
      <c r="E75" s="62" t="s">
        <v>15</v>
      </c>
      <c r="F75" s="62" t="s">
        <v>15</v>
      </c>
      <c r="G75" s="62" t="s">
        <v>15</v>
      </c>
      <c r="H75" s="62" t="s">
        <v>764</v>
      </c>
      <c r="I75" s="62" t="s">
        <v>3864</v>
      </c>
      <c r="J75" s="62" t="s">
        <v>1540</v>
      </c>
      <c r="K75" s="62" t="s">
        <v>3865</v>
      </c>
      <c r="L75" s="62" t="s">
        <v>3694</v>
      </c>
      <c r="M75" s="62" t="s">
        <v>747</v>
      </c>
    </row>
    <row r="76" spans="1:13" ht="30" x14ac:dyDescent="0.25">
      <c r="A76" s="61" t="s">
        <v>5089</v>
      </c>
      <c r="B76" s="62" t="str">
        <f t="shared" si="2"/>
        <v>TRANSISTOR,NPN,40V,0.6A,JIANGSU CHANGJIANG,MMBT2222ALT1,SOT23</v>
      </c>
      <c r="C76" s="62" t="s">
        <v>3686</v>
      </c>
      <c r="D76" s="62" t="s">
        <v>15</v>
      </c>
      <c r="E76" s="62" t="s">
        <v>15</v>
      </c>
      <c r="F76" s="62" t="s">
        <v>15</v>
      </c>
      <c r="G76" s="62" t="s">
        <v>15</v>
      </c>
      <c r="H76" s="62" t="s">
        <v>3866</v>
      </c>
      <c r="I76" s="62" t="s">
        <v>3867</v>
      </c>
      <c r="J76" s="62" t="s">
        <v>693</v>
      </c>
      <c r="K76" s="62" t="s">
        <v>3868</v>
      </c>
      <c r="L76" s="62" t="s">
        <v>721</v>
      </c>
      <c r="M76" s="62" t="s">
        <v>3702</v>
      </c>
    </row>
    <row r="77" spans="1:13" x14ac:dyDescent="0.25">
      <c r="A77" s="61" t="s">
        <v>5090</v>
      </c>
      <c r="B77" s="62" t="str">
        <f t="shared" si="2"/>
        <v>TRANSISTOR,,,,MULLARD,OCP 70,GLASS</v>
      </c>
      <c r="C77" s="62"/>
      <c r="D77" s="62" t="s">
        <v>15</v>
      </c>
      <c r="E77" s="62" t="s">
        <v>15</v>
      </c>
      <c r="F77" s="62" t="s">
        <v>15</v>
      </c>
      <c r="G77" s="62" t="s">
        <v>15</v>
      </c>
      <c r="H77" s="62" t="s">
        <v>3869</v>
      </c>
      <c r="I77" s="62" t="s">
        <v>3870</v>
      </c>
      <c r="J77" s="62" t="s">
        <v>1084</v>
      </c>
      <c r="K77" s="62" t="s">
        <v>3871</v>
      </c>
      <c r="L77" s="62" t="s">
        <v>15</v>
      </c>
      <c r="M77" s="62" t="s">
        <v>15</v>
      </c>
    </row>
    <row r="78" spans="1:13" x14ac:dyDescent="0.25">
      <c r="A78" s="61" t="s">
        <v>5091</v>
      </c>
      <c r="B78" s="62" t="str">
        <f t="shared" si="2"/>
        <v>TRANSISTOR,PNP, DARLINGTON,60V,5A,TI,TIP125,TO220</v>
      </c>
      <c r="C78" s="62" t="s">
        <v>5146</v>
      </c>
      <c r="D78" s="62" t="s">
        <v>15</v>
      </c>
      <c r="E78" s="62" t="s">
        <v>15</v>
      </c>
      <c r="F78" s="62" t="s">
        <v>15</v>
      </c>
      <c r="G78" s="62" t="s">
        <v>15</v>
      </c>
      <c r="H78" s="62" t="s">
        <v>1145</v>
      </c>
      <c r="I78" s="62" t="s">
        <v>3872</v>
      </c>
      <c r="J78" s="62" t="s">
        <v>780</v>
      </c>
      <c r="K78" s="62" t="s">
        <v>3873</v>
      </c>
      <c r="L78" s="62" t="s">
        <v>830</v>
      </c>
      <c r="M78" s="62" t="s">
        <v>950</v>
      </c>
    </row>
    <row r="79" spans="1:13" x14ac:dyDescent="0.25">
      <c r="A79" s="61" t="s">
        <v>5092</v>
      </c>
      <c r="B79" s="62" t="str">
        <f t="shared" si="2"/>
        <v>TRANSISTOR,NPN, DARLINGTON,60V,5A,SEC,TIP120,TO220</v>
      </c>
      <c r="C79" s="62" t="s">
        <v>5147</v>
      </c>
      <c r="D79" s="62" t="s">
        <v>15</v>
      </c>
      <c r="E79" s="62" t="s">
        <v>15</v>
      </c>
      <c r="F79" s="62" t="s">
        <v>15</v>
      </c>
      <c r="G79" s="62" t="s">
        <v>15</v>
      </c>
      <c r="H79" s="62" t="s">
        <v>3874</v>
      </c>
      <c r="I79" s="62" t="s">
        <v>3875</v>
      </c>
      <c r="J79" s="62" t="s">
        <v>780</v>
      </c>
      <c r="K79" s="62" t="s">
        <v>3876</v>
      </c>
      <c r="L79" s="62" t="s">
        <v>830</v>
      </c>
      <c r="M79" s="62" t="s">
        <v>950</v>
      </c>
    </row>
    <row r="80" spans="1:13" x14ac:dyDescent="0.25">
      <c r="A80" s="61" t="s">
        <v>5093</v>
      </c>
      <c r="B80" s="62" t="str">
        <f t="shared" si="2"/>
        <v>TRANSISTOR,NPN,400V,A1,TEXET,TIP50,TO220</v>
      </c>
      <c r="C80" s="62" t="s">
        <v>3686</v>
      </c>
      <c r="D80" s="62" t="s">
        <v>15</v>
      </c>
      <c r="E80" s="62" t="s">
        <v>15</v>
      </c>
      <c r="F80" s="62" t="s">
        <v>15</v>
      </c>
      <c r="G80" s="62" t="s">
        <v>15</v>
      </c>
      <c r="H80" s="62" t="s">
        <v>3877</v>
      </c>
      <c r="I80" s="62" t="s">
        <v>3878</v>
      </c>
      <c r="J80" s="62" t="s">
        <v>780</v>
      </c>
      <c r="K80" s="62" t="s">
        <v>3879</v>
      </c>
      <c r="L80" s="62" t="s">
        <v>758</v>
      </c>
      <c r="M80" s="62" t="s">
        <v>5148</v>
      </c>
    </row>
    <row r="81" spans="1:13" x14ac:dyDescent="0.25">
      <c r="A81" s="61" t="s">
        <v>5094</v>
      </c>
      <c r="B81" s="62" t="str">
        <f t="shared" si="2"/>
        <v>TRANSISTOR,PNP, DARLINGTON,60V,8A,MOTOROLA,TIP105,TO220</v>
      </c>
      <c r="C81" s="62" t="s">
        <v>5146</v>
      </c>
      <c r="D81" s="62" t="s">
        <v>15</v>
      </c>
      <c r="E81" s="62" t="s">
        <v>15</v>
      </c>
      <c r="F81" s="62" t="s">
        <v>15</v>
      </c>
      <c r="G81" s="62" t="s">
        <v>15</v>
      </c>
      <c r="H81" s="62" t="s">
        <v>1086</v>
      </c>
      <c r="I81" s="62" t="s">
        <v>3880</v>
      </c>
      <c r="J81" s="62" t="s">
        <v>780</v>
      </c>
      <c r="K81" s="62" t="s">
        <v>3881</v>
      </c>
      <c r="L81" s="62" t="s">
        <v>830</v>
      </c>
      <c r="M81" s="62" t="s">
        <v>781</v>
      </c>
    </row>
    <row r="82" spans="1:13" x14ac:dyDescent="0.25">
      <c r="A82" s="61" t="s">
        <v>5095</v>
      </c>
      <c r="B82" s="62" t="str">
        <f t="shared" si="2"/>
        <v>TRANSISTOR,NPN, DARLINGTON,100V,10A,ST,TIP142,TO247</v>
      </c>
      <c r="C82" s="62" t="s">
        <v>5147</v>
      </c>
      <c r="D82" s="62" t="s">
        <v>15</v>
      </c>
      <c r="E82" s="62" t="s">
        <v>15</v>
      </c>
      <c r="F82" s="62" t="s">
        <v>15</v>
      </c>
      <c r="G82" s="62" t="s">
        <v>15</v>
      </c>
      <c r="H82" s="62" t="s">
        <v>807</v>
      </c>
      <c r="I82" s="62" t="s">
        <v>3882</v>
      </c>
      <c r="J82" s="62" t="s">
        <v>1082</v>
      </c>
      <c r="K82" s="62" t="s">
        <v>3883</v>
      </c>
      <c r="L82" s="62" t="s">
        <v>198</v>
      </c>
      <c r="M82" s="62" t="s">
        <v>937</v>
      </c>
    </row>
    <row r="83" spans="1:13" x14ac:dyDescent="0.25">
      <c r="A83" s="61" t="s">
        <v>5096</v>
      </c>
      <c r="B83" s="62" t="str">
        <f t="shared" si="2"/>
        <v>TRANSISTOR,,,,MOTOROLA,2N2219,</v>
      </c>
      <c r="C83" s="62"/>
      <c r="D83" s="62" t="s">
        <v>15</v>
      </c>
      <c r="E83" s="62" t="s">
        <v>15</v>
      </c>
      <c r="F83" s="62" t="s">
        <v>15</v>
      </c>
      <c r="G83" s="62" t="s">
        <v>15</v>
      </c>
      <c r="H83" s="62" t="s">
        <v>1086</v>
      </c>
      <c r="I83" s="62" t="s">
        <v>3884</v>
      </c>
      <c r="J83" s="62" t="s">
        <v>15</v>
      </c>
      <c r="K83" s="62" t="s">
        <v>3885</v>
      </c>
      <c r="L83" s="62" t="s">
        <v>15</v>
      </c>
      <c r="M83" s="62" t="s">
        <v>15</v>
      </c>
    </row>
    <row r="84" spans="1:13" x14ac:dyDescent="0.25">
      <c r="A84" s="61" t="s">
        <v>5097</v>
      </c>
      <c r="B84" s="62" t="str">
        <f t="shared" si="2"/>
        <v>TRANSISTOR,NPN,40V,0.2A,BORN,MMBT3904,SOT23</v>
      </c>
      <c r="C84" s="62" t="s">
        <v>3686</v>
      </c>
      <c r="D84" s="62" t="s">
        <v>15</v>
      </c>
      <c r="E84" s="62" t="s">
        <v>15</v>
      </c>
      <c r="F84" s="62" t="s">
        <v>15</v>
      </c>
      <c r="G84" s="62" t="s">
        <v>15</v>
      </c>
      <c r="H84" s="62" t="s">
        <v>3886</v>
      </c>
      <c r="I84" s="62" t="s">
        <v>3695</v>
      </c>
      <c r="J84" s="62" t="s">
        <v>693</v>
      </c>
      <c r="K84" s="62" t="s">
        <v>3887</v>
      </c>
      <c r="L84" s="62" t="s">
        <v>721</v>
      </c>
      <c r="M84" s="62" t="s">
        <v>713</v>
      </c>
    </row>
    <row r="85" spans="1:13" x14ac:dyDescent="0.25">
      <c r="A85" s="61" t="s">
        <v>5098</v>
      </c>
      <c r="B85" s="62" t="str">
        <f t="shared" si="2"/>
        <v>TRANSISTOR,NPN,60V,0.5A,FAIRCHILD,MPSA05,TO92</v>
      </c>
      <c r="C85" s="62" t="s">
        <v>3686</v>
      </c>
      <c r="D85" s="62" t="s">
        <v>15</v>
      </c>
      <c r="E85" s="62" t="s">
        <v>15</v>
      </c>
      <c r="F85" s="62" t="s">
        <v>15</v>
      </c>
      <c r="G85" s="62" t="s">
        <v>15</v>
      </c>
      <c r="H85" s="62" t="s">
        <v>764</v>
      </c>
      <c r="I85" s="62" t="s">
        <v>3709</v>
      </c>
      <c r="J85" s="62" t="s">
        <v>1540</v>
      </c>
      <c r="K85" s="62" t="s">
        <v>3888</v>
      </c>
      <c r="L85" s="62" t="s">
        <v>830</v>
      </c>
      <c r="M85" s="62" t="s">
        <v>689</v>
      </c>
    </row>
    <row r="86" spans="1:13" x14ac:dyDescent="0.25">
      <c r="A86" s="61" t="s">
        <v>5099</v>
      </c>
      <c r="B86" s="62" t="str">
        <f t="shared" si="2"/>
        <v>TRANSISTOR,,,,TOSHIBA,2SK170,TO92</v>
      </c>
      <c r="C86" s="62"/>
      <c r="D86" s="62" t="s">
        <v>15</v>
      </c>
      <c r="E86" s="62" t="s">
        <v>15</v>
      </c>
      <c r="F86" s="62" t="s">
        <v>15</v>
      </c>
      <c r="G86" s="62" t="s">
        <v>15</v>
      </c>
      <c r="H86" s="62" t="s">
        <v>1021</v>
      </c>
      <c r="I86" s="62" t="s">
        <v>3889</v>
      </c>
      <c r="J86" s="62" t="s">
        <v>1540</v>
      </c>
      <c r="K86" s="62" t="s">
        <v>3890</v>
      </c>
      <c r="L86" s="62" t="s">
        <v>15</v>
      </c>
      <c r="M86" s="62" t="s">
        <v>15</v>
      </c>
    </row>
    <row r="87" spans="1:13" x14ac:dyDescent="0.25">
      <c r="A87" s="61" t="s">
        <v>5100</v>
      </c>
      <c r="B87" s="62" t="str">
        <f t="shared" si="2"/>
        <v>TRANSISTOR,,,,NATIONAL,2N2907,TO92</v>
      </c>
      <c r="C87" s="62"/>
      <c r="D87" s="62" t="s">
        <v>15</v>
      </c>
      <c r="E87" s="62" t="s">
        <v>15</v>
      </c>
      <c r="F87" s="62" t="s">
        <v>15</v>
      </c>
      <c r="G87" s="62" t="s">
        <v>15</v>
      </c>
      <c r="H87" s="62" t="s">
        <v>1556</v>
      </c>
      <c r="I87" s="62" t="s">
        <v>3750</v>
      </c>
      <c r="J87" s="62" t="s">
        <v>1540</v>
      </c>
      <c r="K87" s="62" t="s">
        <v>3891</v>
      </c>
      <c r="L87" s="62" t="s">
        <v>15</v>
      </c>
      <c r="M87" s="62" t="s">
        <v>15</v>
      </c>
    </row>
    <row r="88" spans="1:13" x14ac:dyDescent="0.25">
      <c r="A88" s="61" t="s">
        <v>5101</v>
      </c>
      <c r="B88" s="62" t="str">
        <f t="shared" si="2"/>
        <v>TRANSISTOR,,,,,2N4028,TO92</v>
      </c>
      <c r="C88" s="62"/>
      <c r="D88" s="62" t="s">
        <v>15</v>
      </c>
      <c r="E88" s="62" t="s">
        <v>15</v>
      </c>
      <c r="F88" s="62" t="s">
        <v>15</v>
      </c>
      <c r="G88" s="62" t="s">
        <v>15</v>
      </c>
      <c r="H88" s="62" t="s">
        <v>15</v>
      </c>
      <c r="I88" s="62" t="s">
        <v>3892</v>
      </c>
      <c r="J88" s="62" t="s">
        <v>1540</v>
      </c>
      <c r="K88" s="62" t="s">
        <v>3893</v>
      </c>
      <c r="L88" s="62" t="s">
        <v>15</v>
      </c>
      <c r="M88" s="62" t="s">
        <v>15</v>
      </c>
    </row>
    <row r="89" spans="1:13" x14ac:dyDescent="0.25">
      <c r="A89" s="61" t="s">
        <v>5102</v>
      </c>
      <c r="B89" s="62" t="str">
        <f t="shared" si="2"/>
        <v>TRANSISTOR,,,,,2N3711,TO92</v>
      </c>
      <c r="C89" s="62"/>
      <c r="D89" s="62" t="s">
        <v>15</v>
      </c>
      <c r="E89" s="62" t="s">
        <v>15</v>
      </c>
      <c r="F89" s="62" t="s">
        <v>15</v>
      </c>
      <c r="G89" s="62" t="s">
        <v>15</v>
      </c>
      <c r="H89" s="62" t="s">
        <v>15</v>
      </c>
      <c r="I89" s="62" t="s">
        <v>3894</v>
      </c>
      <c r="J89" s="62" t="s">
        <v>1540</v>
      </c>
      <c r="K89" s="62" t="s">
        <v>3895</v>
      </c>
      <c r="L89" s="62" t="s">
        <v>15</v>
      </c>
      <c r="M89" s="62" t="s">
        <v>15</v>
      </c>
    </row>
    <row r="90" spans="1:13" x14ac:dyDescent="0.25">
      <c r="A90" s="61" t="s">
        <v>5103</v>
      </c>
      <c r="B90" s="62" t="str">
        <f t="shared" si="2"/>
        <v>TRANSISTOR,,,,,J110,TO92</v>
      </c>
      <c r="C90" s="62"/>
      <c r="D90" s="62" t="s">
        <v>15</v>
      </c>
      <c r="E90" s="62" t="s">
        <v>15</v>
      </c>
      <c r="F90" s="62" t="s">
        <v>15</v>
      </c>
      <c r="G90" s="62" t="s">
        <v>15</v>
      </c>
      <c r="H90" s="62" t="s">
        <v>15</v>
      </c>
      <c r="I90" s="62" t="s">
        <v>3706</v>
      </c>
      <c r="J90" s="62" t="s">
        <v>1540</v>
      </c>
      <c r="K90" s="62" t="s">
        <v>3896</v>
      </c>
      <c r="L90" s="62" t="s">
        <v>15</v>
      </c>
      <c r="M90" s="62" t="s">
        <v>15</v>
      </c>
    </row>
    <row r="91" spans="1:13" x14ac:dyDescent="0.25">
      <c r="A91" s="61" t="s">
        <v>5104</v>
      </c>
      <c r="B91" s="62" t="str">
        <f t="shared" si="2"/>
        <v>TRANSISTOR,,,,,J112,TO92</v>
      </c>
      <c r="C91" s="62"/>
      <c r="D91" s="62" t="s">
        <v>15</v>
      </c>
      <c r="E91" s="62" t="s">
        <v>15</v>
      </c>
      <c r="F91" s="62" t="s">
        <v>15</v>
      </c>
      <c r="G91" s="62" t="s">
        <v>15</v>
      </c>
      <c r="H91" s="62" t="s">
        <v>15</v>
      </c>
      <c r="I91" s="62" t="s">
        <v>3703</v>
      </c>
      <c r="J91" s="62" t="s">
        <v>1540</v>
      </c>
      <c r="K91" s="62" t="s">
        <v>3897</v>
      </c>
      <c r="L91" s="62" t="s">
        <v>15</v>
      </c>
      <c r="M91" s="62" t="s">
        <v>15</v>
      </c>
    </row>
    <row r="92" spans="1:13" x14ac:dyDescent="0.25">
      <c r="A92" s="61" t="s">
        <v>5105</v>
      </c>
      <c r="B92" s="62" t="str">
        <f t="shared" si="2"/>
        <v>TRANSISTOR,,,,,PN4117,TO92</v>
      </c>
      <c r="C92" s="62"/>
      <c r="D92" s="62" t="s">
        <v>15</v>
      </c>
      <c r="E92" s="62" t="s">
        <v>15</v>
      </c>
      <c r="F92" s="62" t="s">
        <v>15</v>
      </c>
      <c r="G92" s="62" t="s">
        <v>15</v>
      </c>
      <c r="H92" s="62" t="s">
        <v>15</v>
      </c>
      <c r="I92" s="62" t="s">
        <v>3898</v>
      </c>
      <c r="J92" s="62" t="s">
        <v>1540</v>
      </c>
      <c r="K92" s="62" t="s">
        <v>3899</v>
      </c>
      <c r="L92" s="62" t="s">
        <v>15</v>
      </c>
      <c r="M92" s="62" t="s">
        <v>15</v>
      </c>
    </row>
    <row r="93" spans="1:13" x14ac:dyDescent="0.25">
      <c r="A93" s="61" t="s">
        <v>5106</v>
      </c>
      <c r="B93" s="62" t="str">
        <f t="shared" si="2"/>
        <v>TRANSISTOR,,,,MOTOROLA,2N3906,TO92</v>
      </c>
      <c r="C93" s="62"/>
      <c r="D93" s="62" t="s">
        <v>15</v>
      </c>
      <c r="E93" s="62" t="s">
        <v>15</v>
      </c>
      <c r="F93" s="62" t="s">
        <v>15</v>
      </c>
      <c r="G93" s="62" t="s">
        <v>15</v>
      </c>
      <c r="H93" s="62" t="s">
        <v>1086</v>
      </c>
      <c r="I93" s="62" t="s">
        <v>3862</v>
      </c>
      <c r="J93" s="62" t="s">
        <v>1540</v>
      </c>
      <c r="K93" s="62" t="s">
        <v>3900</v>
      </c>
      <c r="L93" s="62" t="s">
        <v>15</v>
      </c>
      <c r="M93" s="62" t="s">
        <v>15</v>
      </c>
    </row>
    <row r="94" spans="1:13" x14ac:dyDescent="0.25">
      <c r="A94" s="61" t="s">
        <v>5107</v>
      </c>
      <c r="B94" s="62" t="str">
        <f t="shared" si="2"/>
        <v>TRANSISTOR,,,,SILICONIX,DN2540,TO92</v>
      </c>
      <c r="C94" s="62"/>
      <c r="D94" s="62" t="s">
        <v>15</v>
      </c>
      <c r="E94" s="62" t="s">
        <v>15</v>
      </c>
      <c r="F94" s="62" t="s">
        <v>15</v>
      </c>
      <c r="G94" s="62" t="s">
        <v>15</v>
      </c>
      <c r="H94" s="62" t="s">
        <v>1391</v>
      </c>
      <c r="I94" s="62" t="s">
        <v>3901</v>
      </c>
      <c r="J94" s="62" t="s">
        <v>1540</v>
      </c>
      <c r="K94" s="62" t="s">
        <v>3902</v>
      </c>
      <c r="L94" s="62" t="s">
        <v>15</v>
      </c>
      <c r="M94" s="62" t="s">
        <v>15</v>
      </c>
    </row>
    <row r="95" spans="1:13" x14ac:dyDescent="0.25">
      <c r="A95" s="61" t="s">
        <v>5108</v>
      </c>
      <c r="B95" s="62" t="str">
        <f t="shared" si="2"/>
        <v>TRANSISTOR,,,,SUPERTEX,DN2535,TO92</v>
      </c>
      <c r="C95" s="62"/>
      <c r="D95" s="62" t="s">
        <v>15</v>
      </c>
      <c r="E95" s="62" t="s">
        <v>15</v>
      </c>
      <c r="F95" s="62" t="s">
        <v>15</v>
      </c>
      <c r="G95" s="62" t="s">
        <v>15</v>
      </c>
      <c r="H95" s="62" t="s">
        <v>3903</v>
      </c>
      <c r="I95" s="62" t="s">
        <v>3904</v>
      </c>
      <c r="J95" s="62" t="s">
        <v>1540</v>
      </c>
      <c r="K95" s="62" t="s">
        <v>3905</v>
      </c>
      <c r="L95" s="62" t="s">
        <v>15</v>
      </c>
      <c r="M95" s="62" t="s">
        <v>15</v>
      </c>
    </row>
    <row r="96" spans="1:13" x14ac:dyDescent="0.25">
      <c r="A96" s="61" t="s">
        <v>5109</v>
      </c>
      <c r="B96" s="62" t="str">
        <f t="shared" si="2"/>
        <v>TRANSISTOR,,,,TI,2N4058,TO92</v>
      </c>
      <c r="C96" s="62"/>
      <c r="D96" s="62" t="s">
        <v>15</v>
      </c>
      <c r="E96" s="62" t="s">
        <v>15</v>
      </c>
      <c r="F96" s="62" t="s">
        <v>15</v>
      </c>
      <c r="G96" s="62" t="s">
        <v>15</v>
      </c>
      <c r="H96" s="62" t="s">
        <v>1145</v>
      </c>
      <c r="I96" s="62" t="s">
        <v>3906</v>
      </c>
      <c r="J96" s="62" t="s">
        <v>1540</v>
      </c>
      <c r="K96" s="62" t="s">
        <v>3907</v>
      </c>
      <c r="L96" s="62" t="s">
        <v>15</v>
      </c>
      <c r="M96" s="62" t="s">
        <v>15</v>
      </c>
    </row>
    <row r="97" spans="1:13" x14ac:dyDescent="0.25">
      <c r="A97" s="61" t="s">
        <v>5110</v>
      </c>
      <c r="B97" s="62" t="str">
        <f t="shared" ref="B97:B128" si="3">_xlfn.CONCAT("TRANSISTOR,",C97,",",L97,",",M97,",",H97,",",I97,",",J97)</f>
        <v>TRANSISTOR,,,,SUPERTEX,LND150,TO92</v>
      </c>
      <c r="C97" s="62"/>
      <c r="D97" s="62" t="s">
        <v>15</v>
      </c>
      <c r="E97" s="62" t="s">
        <v>15</v>
      </c>
      <c r="F97" s="62" t="s">
        <v>15</v>
      </c>
      <c r="G97" s="62" t="s">
        <v>15</v>
      </c>
      <c r="H97" s="62" t="s">
        <v>3903</v>
      </c>
      <c r="I97" s="62" t="s">
        <v>3908</v>
      </c>
      <c r="J97" s="62" t="s">
        <v>1540</v>
      </c>
      <c r="K97" s="62" t="s">
        <v>3909</v>
      </c>
      <c r="L97" s="62" t="s">
        <v>15</v>
      </c>
      <c r="M97" s="62" t="s">
        <v>15</v>
      </c>
    </row>
    <row r="98" spans="1:13" x14ac:dyDescent="0.25">
      <c r="A98" s="61" t="s">
        <v>5111</v>
      </c>
      <c r="B98" s="62" t="str">
        <f t="shared" si="3"/>
        <v>TRANSISTOR,,,,ECS,2N6059,TO3</v>
      </c>
      <c r="C98" s="62"/>
      <c r="D98" s="62" t="s">
        <v>15</v>
      </c>
      <c r="E98" s="62" t="s">
        <v>15</v>
      </c>
      <c r="F98" s="62" t="s">
        <v>15</v>
      </c>
      <c r="G98" s="62" t="s">
        <v>15</v>
      </c>
      <c r="H98" s="62" t="s">
        <v>3910</v>
      </c>
      <c r="I98" s="62" t="s">
        <v>3911</v>
      </c>
      <c r="J98" s="62" t="s">
        <v>3912</v>
      </c>
      <c r="K98" s="62" t="s">
        <v>3913</v>
      </c>
      <c r="L98" s="62" t="s">
        <v>15</v>
      </c>
      <c r="M98" s="62" t="s">
        <v>15</v>
      </c>
    </row>
    <row r="99" spans="1:13" x14ac:dyDescent="0.25">
      <c r="A99" s="61" t="s">
        <v>5112</v>
      </c>
      <c r="B99" s="62" t="str">
        <f t="shared" si="3"/>
        <v>TRANSISTOR,,,,BSC,MJ1000,TO3</v>
      </c>
      <c r="C99" s="62"/>
      <c r="D99" s="62" t="s">
        <v>15</v>
      </c>
      <c r="E99" s="62" t="s">
        <v>15</v>
      </c>
      <c r="F99" s="62" t="s">
        <v>15</v>
      </c>
      <c r="G99" s="62" t="s">
        <v>15</v>
      </c>
      <c r="H99" s="62" t="s">
        <v>3914</v>
      </c>
      <c r="I99" s="62" t="s">
        <v>3915</v>
      </c>
      <c r="J99" s="62" t="s">
        <v>3912</v>
      </c>
      <c r="K99" s="62" t="s">
        <v>3916</v>
      </c>
      <c r="L99" s="62" t="s">
        <v>15</v>
      </c>
      <c r="M99" s="62" t="s">
        <v>15</v>
      </c>
    </row>
    <row r="100" spans="1:13" x14ac:dyDescent="0.25">
      <c r="A100" s="61" t="s">
        <v>5113</v>
      </c>
      <c r="B100" s="62" t="str">
        <f t="shared" si="3"/>
        <v>TRANSISTOR,,,,BSC,IR1000,TO3</v>
      </c>
      <c r="C100" s="62"/>
      <c r="D100" s="62" t="s">
        <v>15</v>
      </c>
      <c r="E100" s="62" t="s">
        <v>15</v>
      </c>
      <c r="F100" s="62" t="s">
        <v>15</v>
      </c>
      <c r="G100" s="62" t="s">
        <v>15</v>
      </c>
      <c r="H100" s="62" t="s">
        <v>3914</v>
      </c>
      <c r="I100" s="62" t="s">
        <v>3917</v>
      </c>
      <c r="J100" s="62" t="s">
        <v>3912</v>
      </c>
      <c r="K100" s="62" t="s">
        <v>3916</v>
      </c>
      <c r="L100" s="62" t="s">
        <v>15</v>
      </c>
      <c r="M100" s="62" t="s">
        <v>15</v>
      </c>
    </row>
    <row r="101" spans="1:13" x14ac:dyDescent="0.25">
      <c r="A101" s="61" t="s">
        <v>5114</v>
      </c>
      <c r="B101" s="62" t="str">
        <f t="shared" si="3"/>
        <v>TRANSISTOR,,,,MOTOROLA,MJ15004,TO3</v>
      </c>
      <c r="C101" s="62"/>
      <c r="D101" s="62" t="s">
        <v>15</v>
      </c>
      <c r="E101" s="62" t="s">
        <v>15</v>
      </c>
      <c r="F101" s="62" t="s">
        <v>15</v>
      </c>
      <c r="G101" s="62" t="s">
        <v>15</v>
      </c>
      <c r="H101" s="62" t="s">
        <v>1086</v>
      </c>
      <c r="I101" s="62" t="s">
        <v>3918</v>
      </c>
      <c r="J101" s="62" t="s">
        <v>3912</v>
      </c>
      <c r="K101" s="62" t="s">
        <v>3919</v>
      </c>
      <c r="L101" s="62" t="s">
        <v>15</v>
      </c>
      <c r="M101" s="62" t="s">
        <v>15</v>
      </c>
    </row>
    <row r="102" spans="1:13" x14ac:dyDescent="0.25">
      <c r="A102" s="61" t="s">
        <v>5115</v>
      </c>
      <c r="B102" s="62" t="str">
        <f t="shared" si="3"/>
        <v>TRANSISTOR,,,,HP,1854-0989,TO3</v>
      </c>
      <c r="C102" s="62"/>
      <c r="D102" s="62" t="s">
        <v>15</v>
      </c>
      <c r="E102" s="62" t="s">
        <v>15</v>
      </c>
      <c r="F102" s="62" t="s">
        <v>15</v>
      </c>
      <c r="G102" s="62" t="s">
        <v>15</v>
      </c>
      <c r="H102" s="62" t="s">
        <v>511</v>
      </c>
      <c r="I102" s="62" t="s">
        <v>3920</v>
      </c>
      <c r="J102" s="62" t="s">
        <v>3912</v>
      </c>
      <c r="K102" s="62" t="s">
        <v>3919</v>
      </c>
      <c r="L102" s="62" t="s">
        <v>15</v>
      </c>
      <c r="M102" s="62" t="s">
        <v>15</v>
      </c>
    </row>
    <row r="103" spans="1:13" x14ac:dyDescent="0.25">
      <c r="A103" s="61" t="s">
        <v>5116</v>
      </c>
      <c r="B103" s="62" t="str">
        <f t="shared" si="3"/>
        <v>TRANSISTOR,,,,ST,STN826,SOT223</v>
      </c>
      <c r="C103" s="62"/>
      <c r="D103" s="62" t="s">
        <v>15</v>
      </c>
      <c r="E103" s="62" t="s">
        <v>15</v>
      </c>
      <c r="F103" s="62" t="s">
        <v>15</v>
      </c>
      <c r="G103" s="62" t="s">
        <v>15</v>
      </c>
      <c r="H103" s="62" t="s">
        <v>807</v>
      </c>
      <c r="I103" s="62" t="s">
        <v>3921</v>
      </c>
      <c r="J103" s="62" t="s">
        <v>1280</v>
      </c>
      <c r="K103" s="62" t="s">
        <v>3922</v>
      </c>
      <c r="L103" s="62" t="s">
        <v>15</v>
      </c>
      <c r="M103" s="62" t="s">
        <v>15</v>
      </c>
    </row>
    <row r="104" spans="1:13" x14ac:dyDescent="0.25">
      <c r="A104" s="61" t="s">
        <v>5117</v>
      </c>
      <c r="B104" s="62" t="str">
        <f t="shared" si="3"/>
        <v>TRANSISTOR,,,,ST,MJ1001,TO3</v>
      </c>
      <c r="C104" s="62"/>
      <c r="D104" s="62" t="s">
        <v>15</v>
      </c>
      <c r="E104" s="62" t="s">
        <v>15</v>
      </c>
      <c r="F104" s="62" t="s">
        <v>15</v>
      </c>
      <c r="G104" s="62" t="s">
        <v>15</v>
      </c>
      <c r="H104" s="62" t="s">
        <v>807</v>
      </c>
      <c r="I104" s="62" t="s">
        <v>3923</v>
      </c>
      <c r="J104" s="62" t="s">
        <v>3912</v>
      </c>
      <c r="K104" s="62" t="s">
        <v>3924</v>
      </c>
      <c r="L104" s="62" t="s">
        <v>15</v>
      </c>
      <c r="M104" s="62" t="s">
        <v>15</v>
      </c>
    </row>
    <row r="105" spans="1:13" x14ac:dyDescent="0.25">
      <c r="A105" s="61" t="s">
        <v>5118</v>
      </c>
      <c r="B105" s="62" t="str">
        <f t="shared" si="3"/>
        <v>TRANSISTOR,PMOS,12V,7.1A,SILICONIX,SI2333CDS-T1-GE3,SOT23</v>
      </c>
      <c r="C105" s="15" t="s">
        <v>5149</v>
      </c>
      <c r="D105" s="15" t="s">
        <v>15</v>
      </c>
      <c r="E105" s="15" t="s">
        <v>15</v>
      </c>
      <c r="F105" s="15" t="s">
        <v>15</v>
      </c>
      <c r="G105" s="15" t="s">
        <v>15</v>
      </c>
      <c r="H105" s="15" t="s">
        <v>1391</v>
      </c>
      <c r="I105" s="15" t="s">
        <v>2695</v>
      </c>
      <c r="J105" s="15" t="s">
        <v>693</v>
      </c>
      <c r="K105" s="15" t="s">
        <v>2697</v>
      </c>
      <c r="L105" s="15" t="s">
        <v>1020</v>
      </c>
      <c r="M105" s="15" t="s">
        <v>2696</v>
      </c>
    </row>
    <row r="106" spans="1:13" x14ac:dyDescent="0.25">
      <c r="A106" s="61" t="s">
        <v>5119</v>
      </c>
      <c r="B106" s="62" t="str">
        <f t="shared" si="3"/>
        <v>TRANSISTOR,PMOS,50V,0.13A,NXP,BSS84,SOT23</v>
      </c>
      <c r="C106" s="15" t="s">
        <v>5149</v>
      </c>
      <c r="D106" s="15" t="s">
        <v>15</v>
      </c>
      <c r="E106" s="15" t="s">
        <v>15</v>
      </c>
      <c r="F106" s="15" t="s">
        <v>15</v>
      </c>
      <c r="G106" s="15" t="s">
        <v>15</v>
      </c>
      <c r="H106" s="15" t="s">
        <v>699</v>
      </c>
      <c r="I106" s="15" t="s">
        <v>2698</v>
      </c>
      <c r="J106" s="15" t="s">
        <v>693</v>
      </c>
      <c r="K106" s="15" t="s">
        <v>2700</v>
      </c>
      <c r="L106" s="15" t="s">
        <v>59</v>
      </c>
      <c r="M106" s="15" t="s">
        <v>2699</v>
      </c>
    </row>
    <row r="107" spans="1:13" x14ac:dyDescent="0.25">
      <c r="A107" s="61" t="s">
        <v>5120</v>
      </c>
      <c r="B107" s="62" t="str">
        <f t="shared" si="3"/>
        <v>TRANSISTOR,PMOS,12V,4.3A,INFINEON,IRLML6401,SOT23</v>
      </c>
      <c r="C107" s="15" t="s">
        <v>5149</v>
      </c>
      <c r="D107" s="15" t="s">
        <v>15</v>
      </c>
      <c r="E107" s="15" t="s">
        <v>15</v>
      </c>
      <c r="F107" s="15" t="s">
        <v>15</v>
      </c>
      <c r="G107" s="15" t="s">
        <v>15</v>
      </c>
      <c r="H107" s="15" t="s">
        <v>2701</v>
      </c>
      <c r="I107" s="15" t="s">
        <v>2702</v>
      </c>
      <c r="J107" s="15" t="s">
        <v>693</v>
      </c>
      <c r="K107" s="15" t="s">
        <v>2704</v>
      </c>
      <c r="L107" s="15" t="s">
        <v>1020</v>
      </c>
      <c r="M107" s="15" t="s">
        <v>2703</v>
      </c>
    </row>
    <row r="108" spans="1:13" x14ac:dyDescent="0.25">
      <c r="A108" s="61" t="s">
        <v>5121</v>
      </c>
      <c r="B108" s="62" t="str">
        <f t="shared" si="3"/>
        <v>TRANSISTOR,NMOS,60V,0.25A,ONSEMI,2N7002,SOT23</v>
      </c>
      <c r="C108" s="15" t="s">
        <v>5150</v>
      </c>
      <c r="D108" s="15" t="s">
        <v>15</v>
      </c>
      <c r="E108" s="15" t="s">
        <v>15</v>
      </c>
      <c r="F108" s="15" t="s">
        <v>15</v>
      </c>
      <c r="G108" s="15" t="s">
        <v>15</v>
      </c>
      <c r="H108" s="15" t="s">
        <v>685</v>
      </c>
      <c r="I108" s="15" t="s">
        <v>2705</v>
      </c>
      <c r="J108" s="15" t="s">
        <v>693</v>
      </c>
      <c r="K108" s="15" t="s">
        <v>2706</v>
      </c>
      <c r="L108" s="15" t="s">
        <v>830</v>
      </c>
      <c r="M108" s="15" t="s">
        <v>851</v>
      </c>
    </row>
    <row r="109" spans="1:13" x14ac:dyDescent="0.25">
      <c r="A109" s="61" t="s">
        <v>5122</v>
      </c>
      <c r="B109" s="62" t="str">
        <f t="shared" si="3"/>
        <v>TRANSISTOR,PMOS,20V,3.7A,INFINEON,IRLML6402,SOT23</v>
      </c>
      <c r="C109" s="15" t="s">
        <v>5149</v>
      </c>
      <c r="D109" s="15" t="s">
        <v>15</v>
      </c>
      <c r="E109" s="15" t="s">
        <v>15</v>
      </c>
      <c r="F109" s="15" t="s">
        <v>15</v>
      </c>
      <c r="G109" s="15" t="s">
        <v>15</v>
      </c>
      <c r="H109" s="15" t="s">
        <v>2701</v>
      </c>
      <c r="I109" s="15" t="s">
        <v>2707</v>
      </c>
      <c r="J109" s="15" t="s">
        <v>693</v>
      </c>
      <c r="K109" s="15" t="s">
        <v>2710</v>
      </c>
      <c r="L109" s="15" t="s">
        <v>2709</v>
      </c>
      <c r="M109" s="15" t="s">
        <v>2708</v>
      </c>
    </row>
    <row r="110" spans="1:13" x14ac:dyDescent="0.25">
      <c r="A110" s="61" t="s">
        <v>5123</v>
      </c>
      <c r="B110" s="62" t="str">
        <f t="shared" si="3"/>
        <v>TRANSISTOR,2 N-CH,30V,4.9A,INFINEON,IRF7303,SO8</v>
      </c>
      <c r="C110" s="15" t="s">
        <v>2711</v>
      </c>
      <c r="D110" s="15" t="s">
        <v>15</v>
      </c>
      <c r="E110" s="15" t="s">
        <v>15</v>
      </c>
      <c r="F110" s="15" t="s">
        <v>15</v>
      </c>
      <c r="G110" s="15" t="s">
        <v>15</v>
      </c>
      <c r="H110" s="15" t="s">
        <v>2701</v>
      </c>
      <c r="I110" s="15" t="s">
        <v>2712</v>
      </c>
      <c r="J110" s="15" t="s">
        <v>1147</v>
      </c>
      <c r="K110" s="15" t="s">
        <v>2714</v>
      </c>
      <c r="L110" s="15" t="s">
        <v>714</v>
      </c>
      <c r="M110" s="15" t="s">
        <v>2713</v>
      </c>
    </row>
    <row r="111" spans="1:13" x14ac:dyDescent="0.25">
      <c r="A111" s="61" t="s">
        <v>5124</v>
      </c>
      <c r="B111" s="62" t="str">
        <f t="shared" si="3"/>
        <v>TRANSISTOR,NMOS,55V,17A,INFINEON,IRFZ24N,TO220</v>
      </c>
      <c r="C111" s="15" t="s">
        <v>5150</v>
      </c>
      <c r="D111" s="15" t="s">
        <v>15</v>
      </c>
      <c r="E111" s="15" t="s">
        <v>15</v>
      </c>
      <c r="F111" s="15" t="s">
        <v>15</v>
      </c>
      <c r="G111" s="15" t="s">
        <v>15</v>
      </c>
      <c r="H111" s="15" t="s">
        <v>2701</v>
      </c>
      <c r="I111" s="15" t="s">
        <v>2715</v>
      </c>
      <c r="J111" s="15" t="s">
        <v>780</v>
      </c>
      <c r="K111" s="15" t="s">
        <v>15</v>
      </c>
      <c r="L111" s="15" t="s">
        <v>2717</v>
      </c>
      <c r="M111" s="15" t="s">
        <v>2716</v>
      </c>
    </row>
    <row r="112" spans="1:13" x14ac:dyDescent="0.25">
      <c r="A112" s="61" t="s">
        <v>5125</v>
      </c>
      <c r="B112" s="62" t="str">
        <f t="shared" si="3"/>
        <v>TRANSISTOR,NMOS,50V,30A,FAIRCHILD,BUZ11,TO220</v>
      </c>
      <c r="C112" s="15" t="s">
        <v>5150</v>
      </c>
      <c r="D112" s="15" t="s">
        <v>15</v>
      </c>
      <c r="E112" s="15" t="s">
        <v>15</v>
      </c>
      <c r="F112" s="15" t="s">
        <v>15</v>
      </c>
      <c r="G112" s="15" t="s">
        <v>15</v>
      </c>
      <c r="H112" s="15" t="s">
        <v>764</v>
      </c>
      <c r="I112" s="15" t="s">
        <v>2718</v>
      </c>
      <c r="J112" s="15" t="s">
        <v>780</v>
      </c>
      <c r="K112" s="15" t="s">
        <v>2720</v>
      </c>
      <c r="L112" s="15" t="s">
        <v>59</v>
      </c>
      <c r="M112" s="15" t="s">
        <v>2719</v>
      </c>
    </row>
    <row r="113" spans="1:13" ht="30" x14ac:dyDescent="0.25">
      <c r="A113" s="61" t="s">
        <v>5126</v>
      </c>
      <c r="B113" s="62" t="str">
        <f t="shared" si="3"/>
        <v>TRANSISTOR,NMOS,30V,27A,ST,STL50NH3,POWERFLAT</v>
      </c>
      <c r="C113" s="15" t="s">
        <v>5150</v>
      </c>
      <c r="D113" s="15" t="s">
        <v>15</v>
      </c>
      <c r="E113" s="15" t="s">
        <v>15</v>
      </c>
      <c r="F113" s="15" t="s">
        <v>15</v>
      </c>
      <c r="G113" s="15" t="s">
        <v>15</v>
      </c>
      <c r="H113" s="15" t="s">
        <v>807</v>
      </c>
      <c r="I113" s="15" t="s">
        <v>2721</v>
      </c>
      <c r="J113" s="15" t="s">
        <v>2722</v>
      </c>
      <c r="K113" s="15" t="s">
        <v>2724</v>
      </c>
      <c r="L113" s="15" t="s">
        <v>714</v>
      </c>
      <c r="M113" s="15" t="s">
        <v>2723</v>
      </c>
    </row>
    <row r="114" spans="1:13" x14ac:dyDescent="0.25">
      <c r="A114" s="61" t="s">
        <v>5127</v>
      </c>
      <c r="B114" s="62" t="str">
        <f t="shared" si="3"/>
        <v>TRANSISTOR,PMOS,60V,2.5A,ONSEMI,NDT2955,SOT223</v>
      </c>
      <c r="C114" s="15" t="s">
        <v>5149</v>
      </c>
      <c r="D114" s="15" t="s">
        <v>15</v>
      </c>
      <c r="E114" s="15" t="s">
        <v>15</v>
      </c>
      <c r="F114" s="15" t="s">
        <v>15</v>
      </c>
      <c r="G114" s="15" t="s">
        <v>15</v>
      </c>
      <c r="H114" s="15" t="s">
        <v>685</v>
      </c>
      <c r="I114" s="15" t="s">
        <v>2725</v>
      </c>
      <c r="J114" s="15" t="s">
        <v>1280</v>
      </c>
      <c r="K114" s="15" t="s">
        <v>2727</v>
      </c>
      <c r="L114" s="15" t="s">
        <v>830</v>
      </c>
      <c r="M114" s="15" t="s">
        <v>2726</v>
      </c>
    </row>
    <row r="115" spans="1:13" x14ac:dyDescent="0.25">
      <c r="A115" s="61" t="s">
        <v>5128</v>
      </c>
      <c r="B115" s="62" t="str">
        <f t="shared" si="3"/>
        <v>TRANSISTOR,PMOS,30V,10A,ST,STS10PF30L,SO8</v>
      </c>
      <c r="C115" s="15" t="s">
        <v>5149</v>
      </c>
      <c r="D115" s="15" t="s">
        <v>15</v>
      </c>
      <c r="E115" s="15" t="s">
        <v>15</v>
      </c>
      <c r="F115" s="15" t="s">
        <v>15</v>
      </c>
      <c r="G115" s="15" t="s">
        <v>15</v>
      </c>
      <c r="H115" s="15" t="s">
        <v>807</v>
      </c>
      <c r="I115" s="15" t="s">
        <v>2728</v>
      </c>
      <c r="J115" s="15" t="s">
        <v>1147</v>
      </c>
      <c r="K115" s="15" t="s">
        <v>2729</v>
      </c>
      <c r="L115" s="15" t="s">
        <v>714</v>
      </c>
      <c r="M115" s="15" t="s">
        <v>937</v>
      </c>
    </row>
    <row r="116" spans="1:13" x14ac:dyDescent="0.25">
      <c r="A116" s="61" t="s">
        <v>5129</v>
      </c>
      <c r="B116" s="62" t="str">
        <f t="shared" si="3"/>
        <v>TRANSISTOR,NMOS,30V,80A,ST,STD85N3L,DPAK</v>
      </c>
      <c r="C116" s="15" t="s">
        <v>5150</v>
      </c>
      <c r="D116" s="15" t="s">
        <v>15</v>
      </c>
      <c r="E116" s="15" t="s">
        <v>15</v>
      </c>
      <c r="F116" s="15" t="s">
        <v>15</v>
      </c>
      <c r="G116" s="15" t="s">
        <v>15</v>
      </c>
      <c r="H116" s="15" t="s">
        <v>807</v>
      </c>
      <c r="I116" s="15" t="s">
        <v>2730</v>
      </c>
      <c r="J116" s="15" t="s">
        <v>932</v>
      </c>
      <c r="K116" s="15" t="s">
        <v>2732</v>
      </c>
      <c r="L116" s="15" t="s">
        <v>714</v>
      </c>
      <c r="M116" s="15" t="s">
        <v>2731</v>
      </c>
    </row>
    <row r="117" spans="1:13" x14ac:dyDescent="0.25">
      <c r="A117" s="61" t="s">
        <v>5130</v>
      </c>
      <c r="B117" s="62" t="str">
        <f t="shared" si="3"/>
        <v>TRANSISTOR,NMOS,30V,40A,ST,STD50N03,DPAK</v>
      </c>
      <c r="C117" s="15" t="s">
        <v>5150</v>
      </c>
      <c r="D117" s="15" t="s">
        <v>15</v>
      </c>
      <c r="E117" s="15" t="s">
        <v>15</v>
      </c>
      <c r="F117" s="15" t="s">
        <v>15</v>
      </c>
      <c r="G117" s="15" t="s">
        <v>15</v>
      </c>
      <c r="H117" s="15" t="s">
        <v>807</v>
      </c>
      <c r="I117" s="15" t="s">
        <v>2733</v>
      </c>
      <c r="J117" s="15" t="s">
        <v>932</v>
      </c>
      <c r="K117" s="15" t="s">
        <v>2735</v>
      </c>
      <c r="L117" s="15" t="s">
        <v>714</v>
      </c>
      <c r="M117" s="15" t="s">
        <v>2734</v>
      </c>
    </row>
    <row r="118" spans="1:13" ht="30" x14ac:dyDescent="0.25">
      <c r="A118" s="61" t="s">
        <v>5131</v>
      </c>
      <c r="B118" s="62" t="str">
        <f t="shared" si="3"/>
        <v>TRANSISTOR,NMOS,30V,55A,ST,STL55NH3LL,PPAK5060</v>
      </c>
      <c r="C118" s="15" t="s">
        <v>5150</v>
      </c>
      <c r="D118" s="15" t="s">
        <v>15</v>
      </c>
      <c r="E118" s="15" t="s">
        <v>15</v>
      </c>
      <c r="F118" s="15" t="s">
        <v>15</v>
      </c>
      <c r="G118" s="15" t="s">
        <v>15</v>
      </c>
      <c r="H118" s="15" t="s">
        <v>807</v>
      </c>
      <c r="I118" s="15" t="s">
        <v>2736</v>
      </c>
      <c r="J118" s="15" t="s">
        <v>2737</v>
      </c>
      <c r="K118" s="15" t="s">
        <v>2739</v>
      </c>
      <c r="L118" s="15" t="s">
        <v>714</v>
      </c>
      <c r="M118" s="15" t="s">
        <v>2738</v>
      </c>
    </row>
    <row r="119" spans="1:13" x14ac:dyDescent="0.25">
      <c r="A119" s="61" t="s">
        <v>5132</v>
      </c>
      <c r="B119" s="62" t="str">
        <f t="shared" si="3"/>
        <v>TRANSISTOR,NMOS,30V,12A,ST,STS12NF30L,SO8</v>
      </c>
      <c r="C119" s="15" t="s">
        <v>5150</v>
      </c>
      <c r="D119" s="15" t="s">
        <v>15</v>
      </c>
      <c r="E119" s="15" t="s">
        <v>15</v>
      </c>
      <c r="F119" s="15" t="s">
        <v>15</v>
      </c>
      <c r="G119" s="15" t="s">
        <v>15</v>
      </c>
      <c r="H119" s="15" t="s">
        <v>807</v>
      </c>
      <c r="I119" s="15" t="s">
        <v>2740</v>
      </c>
      <c r="J119" s="15" t="s">
        <v>1147</v>
      </c>
      <c r="K119" s="15" t="s">
        <v>2742</v>
      </c>
      <c r="L119" s="15" t="s">
        <v>714</v>
      </c>
      <c r="M119" s="15" t="s">
        <v>2741</v>
      </c>
    </row>
    <row r="120" spans="1:13" x14ac:dyDescent="0.25">
      <c r="A120" s="61" t="s">
        <v>5133</v>
      </c>
      <c r="B120" s="62" t="str">
        <f t="shared" si="3"/>
        <v>TRANSISTOR,,,,ST,STF40NF06,ISO220</v>
      </c>
      <c r="C120" s="15" t="s">
        <v>15</v>
      </c>
      <c r="D120" s="15" t="s">
        <v>15</v>
      </c>
      <c r="E120" s="15" t="s">
        <v>15</v>
      </c>
      <c r="F120" s="15" t="s">
        <v>15</v>
      </c>
      <c r="G120" s="15" t="s">
        <v>15</v>
      </c>
      <c r="H120" s="15" t="s">
        <v>807</v>
      </c>
      <c r="I120" s="15" t="s">
        <v>2743</v>
      </c>
      <c r="J120" s="15" t="s">
        <v>2035</v>
      </c>
      <c r="K120" s="15" t="s">
        <v>2744</v>
      </c>
      <c r="L120" s="15" t="s">
        <v>15</v>
      </c>
      <c r="M120" s="15" t="s">
        <v>15</v>
      </c>
    </row>
    <row r="121" spans="1:13" x14ac:dyDescent="0.25">
      <c r="A121" s="61" t="s">
        <v>5134</v>
      </c>
      <c r="B121" s="62" t="str">
        <f t="shared" si="3"/>
        <v>TRANSISTOR,,,,,BS170,TO92</v>
      </c>
      <c r="C121" s="15" t="s">
        <v>15</v>
      </c>
      <c r="D121" s="15" t="s">
        <v>15</v>
      </c>
      <c r="E121" s="15" t="s">
        <v>15</v>
      </c>
      <c r="F121" s="15" t="s">
        <v>15</v>
      </c>
      <c r="G121" s="15" t="s">
        <v>15</v>
      </c>
      <c r="H121" s="15" t="s">
        <v>15</v>
      </c>
      <c r="I121" s="15" t="s">
        <v>2745</v>
      </c>
      <c r="J121" s="15" t="s">
        <v>1540</v>
      </c>
      <c r="K121" s="15" t="s">
        <v>2746</v>
      </c>
      <c r="L121" s="15" t="s">
        <v>15</v>
      </c>
      <c r="M121" s="15" t="s">
        <v>15</v>
      </c>
    </row>
    <row r="122" spans="1:13" x14ac:dyDescent="0.25">
      <c r="A122" s="61" t="s">
        <v>5135</v>
      </c>
      <c r="B122" s="62" t="str">
        <f t="shared" si="3"/>
        <v>TRANSISTOR,,,,,BSS138,SOT23</v>
      </c>
      <c r="C122" s="15" t="s">
        <v>15</v>
      </c>
      <c r="D122" s="15" t="s">
        <v>15</v>
      </c>
      <c r="E122" s="15" t="s">
        <v>15</v>
      </c>
      <c r="F122" s="15" t="s">
        <v>15</v>
      </c>
      <c r="G122" s="15" t="s">
        <v>15</v>
      </c>
      <c r="H122" s="15" t="s">
        <v>15</v>
      </c>
      <c r="I122" s="15" t="s">
        <v>2747</v>
      </c>
      <c r="J122" s="15" t="s">
        <v>693</v>
      </c>
      <c r="K122" s="15" t="s">
        <v>2748</v>
      </c>
      <c r="L122" s="15" t="s">
        <v>15</v>
      </c>
      <c r="M122" s="15" t="s">
        <v>15</v>
      </c>
    </row>
    <row r="123" spans="1:13" x14ac:dyDescent="0.25">
      <c r="A123" s="61" t="s">
        <v>5136</v>
      </c>
      <c r="B123" s="62" t="str">
        <f t="shared" si="3"/>
        <v>TRANSISTOR,,,,,SI2333DS-T1-E3,SOT23</v>
      </c>
      <c r="C123" s="15" t="s">
        <v>15</v>
      </c>
      <c r="D123" s="15" t="s">
        <v>15</v>
      </c>
      <c r="E123" s="15" t="s">
        <v>15</v>
      </c>
      <c r="F123" s="15" t="s">
        <v>15</v>
      </c>
      <c r="G123" s="15" t="s">
        <v>15</v>
      </c>
      <c r="H123" s="15" t="s">
        <v>15</v>
      </c>
      <c r="I123" s="15" t="s">
        <v>2749</v>
      </c>
      <c r="J123" s="15" t="s">
        <v>693</v>
      </c>
      <c r="K123" s="15" t="s">
        <v>2750</v>
      </c>
      <c r="L123" s="15" t="s">
        <v>15</v>
      </c>
      <c r="M123" s="15" t="s">
        <v>15</v>
      </c>
    </row>
    <row r="124" spans="1:13" x14ac:dyDescent="0.25">
      <c r="A124" s="61" t="s">
        <v>5137</v>
      </c>
      <c r="B124" s="62" t="str">
        <f t="shared" si="3"/>
        <v>TRANSISTOR,,,,,SBSS84LT1G,</v>
      </c>
      <c r="C124" s="15" t="s">
        <v>15</v>
      </c>
      <c r="D124" s="15" t="s">
        <v>15</v>
      </c>
      <c r="E124" s="15" t="s">
        <v>15</v>
      </c>
      <c r="F124" s="15" t="s">
        <v>15</v>
      </c>
      <c r="G124" s="15" t="s">
        <v>15</v>
      </c>
      <c r="H124" s="15" t="s">
        <v>15</v>
      </c>
      <c r="I124" s="15" t="s">
        <v>2751</v>
      </c>
      <c r="J124" s="15" t="s">
        <v>15</v>
      </c>
      <c r="K124" s="15" t="s">
        <v>2752</v>
      </c>
      <c r="L124" s="15" t="s">
        <v>15</v>
      </c>
      <c r="M124" s="15" t="s">
        <v>15</v>
      </c>
    </row>
    <row r="125" spans="1:13" x14ac:dyDescent="0.25">
      <c r="A125" s="61" t="s">
        <v>5138</v>
      </c>
      <c r="B125" s="62" t="str">
        <f t="shared" si="3"/>
        <v>TRANSISTOR,NMOS,,,,2N7002-TP,</v>
      </c>
      <c r="C125" s="15" t="s">
        <v>5150</v>
      </c>
      <c r="D125" s="15" t="s">
        <v>15</v>
      </c>
      <c r="E125" s="15" t="s">
        <v>15</v>
      </c>
      <c r="F125" s="15" t="s">
        <v>15</v>
      </c>
      <c r="G125" s="15" t="s">
        <v>15</v>
      </c>
      <c r="H125" s="15" t="s">
        <v>15</v>
      </c>
      <c r="I125" s="15" t="s">
        <v>2753</v>
      </c>
      <c r="J125" s="15" t="s">
        <v>15</v>
      </c>
      <c r="K125" s="15" t="s">
        <v>2754</v>
      </c>
      <c r="L125" s="15" t="s">
        <v>15</v>
      </c>
      <c r="M125" s="15" t="s">
        <v>15</v>
      </c>
    </row>
    <row r="126" spans="1:13" x14ac:dyDescent="0.25">
      <c r="A126" s="61" t="s">
        <v>5139</v>
      </c>
      <c r="B126" s="62" t="str">
        <f t="shared" si="3"/>
        <v>TRANSISTOR,NMOS,,,,2N7002,SOT23</v>
      </c>
      <c r="C126" s="15" t="s">
        <v>5150</v>
      </c>
      <c r="D126" s="15" t="s">
        <v>15</v>
      </c>
      <c r="E126" s="15" t="s">
        <v>15</v>
      </c>
      <c r="F126" s="15" t="s">
        <v>15</v>
      </c>
      <c r="G126" s="15" t="s">
        <v>15</v>
      </c>
      <c r="H126" s="15" t="s">
        <v>15</v>
      </c>
      <c r="I126" s="15" t="s">
        <v>2705</v>
      </c>
      <c r="J126" s="15" t="s">
        <v>693</v>
      </c>
      <c r="K126" s="15" t="s">
        <v>2755</v>
      </c>
      <c r="L126" s="15" t="s">
        <v>15</v>
      </c>
      <c r="M126" s="15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AUDIO</vt:lpstr>
      <vt:lpstr>BATTERIES</vt:lpstr>
      <vt:lpstr>CAPACITORS</vt:lpstr>
      <vt:lpstr>CONNECTORS</vt:lpstr>
      <vt:lpstr>CRYSTALS</vt:lpstr>
      <vt:lpstr>DIODES</vt:lpstr>
      <vt:lpstr>DISPLAY</vt:lpstr>
      <vt:lpstr>FERRITEBEAD</vt:lpstr>
      <vt:lpstr>FUSES</vt:lpstr>
      <vt:lpstr>IC</vt:lpstr>
      <vt:lpstr>INDUCTORS</vt:lpstr>
      <vt:lpstr>OPTO</vt:lpstr>
      <vt:lpstr>MECHANICAL</vt:lpstr>
      <vt:lpstr>RELAYS</vt:lpstr>
      <vt:lpstr>RESISTORS</vt:lpstr>
      <vt:lpstr>SWITCH</vt:lpstr>
      <vt:lpstr>THERMAL</vt:lpstr>
      <vt:lpstr>TRANSISTORS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2025-12-28T02:00:34Z</dcterms:created>
  <dcterms:modified xsi:type="dcterms:W3CDTF">2025-12-29T17:43:05Z</dcterms:modified>
</cp:coreProperties>
</file>