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/>
  <workbookPr defaultThemeVersion="202300"/>
  <mc:AlternateContent xmlns:mc="http://schemas.openxmlformats.org/markup-compatibility/2006">
    <mc:Choice Requires="x15">
      <x15ac:absPath xmlns:x15ac="http://schemas.microsoft.com/office/spreadsheetml/2010/11/ac" url="C:\GitHub\FullyRouted-Altium-Library\partsdb\"/>
    </mc:Choice>
  </mc:AlternateContent>
  <xr:revisionPtr revIDLastSave="0" documentId="13_ncr:1_{F1307ADB-C4EA-4E50-8243-0D5319C84DE0}" xr6:coauthVersionLast="47" xr6:coauthVersionMax="47" xr10:uidLastSave="{00000000-0000-0000-0000-000000000000}"/>
  <bookViews>
    <workbookView xWindow="86430" yWindow="5520" windowWidth="28800" windowHeight="15345" xr2:uid="{AD050CE8-E92E-4142-8C9E-84E4B08A952C}"/>
  </bookViews>
  <sheets>
    <sheet name="CAPACITORS" sheetId="1" r:id="rId1"/>
    <sheet name="RESISTORS" sheetId="2" r:id="rId2"/>
    <sheet name="BJT" sheetId="3" r:id="rId3"/>
    <sheet name="MOS" sheetId="4" r:id="rId4"/>
    <sheet name="DIODE" sheetId="5" r:id="rId5"/>
    <sheet name="IC" sheetId="6" r:id="rId6"/>
    <sheet name="CONNECTOR" sheetId="7" r:id="rId7"/>
    <sheet name="ELECTROMECHANICAL" sheetId="8" r:id="rId8"/>
    <sheet name="OPTO" sheetId="9" r:id="rId9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" i="1" l="1"/>
  <c r="A2" i="2"/>
  <c r="A2" i="1"/>
</calcChain>
</file>

<file path=xl/sharedStrings.xml><?xml version="1.0" encoding="utf-8"?>
<sst xmlns="http://schemas.openxmlformats.org/spreadsheetml/2006/main" count="87" uniqueCount="33">
  <si>
    <t>Index</t>
  </si>
  <si>
    <t>Library Ref</t>
  </si>
  <si>
    <t>Library Path</t>
  </si>
  <si>
    <t>Footprint Ref</t>
  </si>
  <si>
    <t>Footprint Path</t>
  </si>
  <si>
    <t>Description</t>
  </si>
  <si>
    <t>Manufacturer 1</t>
  </si>
  <si>
    <t>Manufacturer Part Number 1</t>
  </si>
  <si>
    <t>Location</t>
  </si>
  <si>
    <t>LCSC</t>
  </si>
  <si>
    <t>Digikey</t>
  </si>
  <si>
    <t>Mouser</t>
  </si>
  <si>
    <t>TME</t>
  </si>
  <si>
    <t>Value</t>
  </si>
  <si>
    <t>Voltage</t>
  </si>
  <si>
    <t>Dielectric</t>
  </si>
  <si>
    <t>Tolerance</t>
  </si>
  <si>
    <t>Power</t>
  </si>
  <si>
    <t>Tempco</t>
  </si>
  <si>
    <t>Id</t>
  </si>
  <si>
    <t>Vds</t>
  </si>
  <si>
    <t>Vgs(th)</t>
  </si>
  <si>
    <t>Ic</t>
  </si>
  <si>
    <t>Vce</t>
  </si>
  <si>
    <t>hfe</t>
  </si>
  <si>
    <t>Function</t>
  </si>
  <si>
    <t>Package</t>
  </si>
  <si>
    <t>Material</t>
  </si>
  <si>
    <t>1uF</t>
  </si>
  <si>
    <t>0603</t>
  </si>
  <si>
    <t>CER</t>
  </si>
  <si>
    <t>10V</t>
  </si>
  <si>
    <t>X7R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</si>
</sst>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49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443FE9-D057-4EC4-8AC4-F2BAE0237FC4}">
  <dimension ref="A1:R2"/>
  <sheetViews>
    <sheetView tabSelected="1" workbookViewId="0">
      <selection activeCell="P3" sqref="P3"/>
    </sheetView>
  </sheetViews>
  <sheetFormatPr defaultRowHeight="15" x14ac:dyDescent="0.25"/>
  <cols>
    <col min="1" max="1" width="10.42578125" bestFit="1" customWidth="1"/>
    <col min="2" max="2" width="10.140625" bestFit="1" customWidth="1"/>
    <col min="3" max="3" width="11.42578125" bestFit="1" customWidth="1"/>
    <col min="4" max="4" width="12.140625" bestFit="1" customWidth="1"/>
    <col min="5" max="5" width="13.5703125" bestFit="1" customWidth="1"/>
    <col min="6" max="6" width="11.140625" bestFit="1" customWidth="1"/>
    <col min="7" max="7" width="14.42578125" bestFit="1" customWidth="1"/>
    <col min="8" max="8" width="26.42578125" bestFit="1" customWidth="1"/>
    <col min="9" max="9" width="8.5703125" bestFit="1" customWidth="1"/>
    <col min="10" max="10" width="5.140625" bestFit="1" customWidth="1"/>
    <col min="14" max="17" width="9.140625" style="1"/>
  </cols>
  <sheetData>
    <row r="1" spans="1:18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s="1" t="s">
        <v>13</v>
      </c>
      <c r="O1" s="1" t="s">
        <v>14</v>
      </c>
      <c r="P1" s="1" t="s">
        <v>15</v>
      </c>
      <c r="Q1" s="1" t="s">
        <v>26</v>
      </c>
      <c r="R1" t="s">
        <v>27</v>
      </c>
    </row>
    <row r="2" spans="1:18" x14ac:dyDescent="0.25">
      <c r="A2" t="str">
        <f>_xlfn.CONCAT("CAP",TEXT(ROW()-1,"000000"))</f>
        <v>CAP000001</v>
      </c>
      <c r="F2" t="str">
        <f>_xlfn.CONCAT("CAP,",R2,",",N2,",",O2,",",P2,",",Q2)</f>
        <v>CAP,CER,1uF,10V,X7R,0603</v>
      </c>
      <c r="N2" s="1" t="s">
        <v>28</v>
      </c>
      <c r="O2" s="1" t="s">
        <v>31</v>
      </c>
      <c r="P2" s="1" t="s">
        <v>32</v>
      </c>
      <c r="Q2" s="1" t="s">
        <v>29</v>
      </c>
      <c r="R2" s="1" t="s">
        <v>30</v>
      </c>
    </row>
  </sheetData>
  <pageMargins left="0.7" right="0.7" top="0.75" bottom="0.75" header="0.3" footer="0.3"/>
  <pageSetup paperSize="261" orientation="landscape" horizontalDpi="180" verticalDpi="18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6A2DA9-3333-41D6-B876-56469118E958}">
  <dimension ref="A1:Q2"/>
  <sheetViews>
    <sheetView workbookViewId="0">
      <selection activeCell="E4" sqref="E4"/>
    </sheetView>
  </sheetViews>
  <sheetFormatPr defaultRowHeight="15" x14ac:dyDescent="0.25"/>
  <cols>
    <col min="1" max="1" width="10.140625" bestFit="1" customWidth="1"/>
  </cols>
  <sheetData>
    <row r="1" spans="1:17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16</v>
      </c>
      <c r="P1" t="s">
        <v>17</v>
      </c>
      <c r="Q1" t="s">
        <v>18</v>
      </c>
    </row>
    <row r="2" spans="1:17" x14ac:dyDescent="0.25">
      <c r="A2" t="str">
        <f>_xlfn.CONCAT("RES",TEXT(ROW()-1,"000000"))</f>
        <v>RES000001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CF9D6E-392E-4078-9561-9113024D1C63}">
  <dimension ref="A1:P1"/>
  <sheetViews>
    <sheetView workbookViewId="0">
      <selection sqref="A1:P1"/>
    </sheetView>
  </sheetViews>
  <sheetFormatPr defaultRowHeight="15" x14ac:dyDescent="0.25"/>
  <sheetData>
    <row r="1" spans="1:16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22</v>
      </c>
      <c r="O1" t="s">
        <v>23</v>
      </c>
      <c r="P1" t="s">
        <v>24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D3CAEF-8AC6-42F6-B98D-BCCF412A6F61}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776AA5-F76D-4DE2-978A-54387613A33E}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073DE3-C865-47E9-868C-21F7E77AA357}">
  <dimension ref="A1:O1"/>
  <sheetViews>
    <sheetView workbookViewId="0">
      <selection sqref="A1:O1"/>
    </sheetView>
  </sheetViews>
  <sheetFormatPr defaultRowHeight="15" x14ac:dyDescent="0.25"/>
  <sheetData>
    <row r="1" spans="1:15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25</v>
      </c>
      <c r="O1" t="s">
        <v>26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FEA890-DEC3-4882-9C87-EC031BA393BB}">
  <dimension ref="A1"/>
  <sheetViews>
    <sheetView workbookViewId="0">
      <selection activeCell="E3" sqref="E3"/>
    </sheetView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06D46E-37AF-4654-ABF4-1D647095C14E}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BB81E1-3CA9-4168-A31F-544BE9B4FAAD}">
  <dimension ref="A1:P1"/>
  <sheetViews>
    <sheetView workbookViewId="0">
      <selection sqref="A1:P1"/>
    </sheetView>
  </sheetViews>
  <sheetFormatPr defaultRowHeight="15" x14ac:dyDescent="0.25"/>
  <sheetData>
    <row r="1" spans="1:16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19</v>
      </c>
      <c r="O1" t="s">
        <v>20</v>
      </c>
      <c r="P1" t="s">
        <v>21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CAPACITORS</vt:lpstr>
      <vt:lpstr>RESISTORS</vt:lpstr>
      <vt:lpstr>BJT</vt:lpstr>
      <vt:lpstr>MOS</vt:lpstr>
      <vt:lpstr>DIODE</vt:lpstr>
      <vt:lpstr>IC</vt:lpstr>
      <vt:lpstr>CONNECTOR</vt:lpstr>
      <vt:lpstr>ELECTROMECHANICAL</vt:lpstr>
      <vt:lpstr>OPTO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Vincent Himpe</dc:creator>
  <cp:lastModifiedBy>Vincent Himpe</cp:lastModifiedBy>
  <dcterms:created xsi:type="dcterms:W3CDTF">2025-12-18T19:10:34Z</dcterms:created>
  <dcterms:modified xsi:type="dcterms:W3CDTF">2025-12-18T23:50:58Z</dcterms:modified>
</cp:coreProperties>
</file>